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cs Data - Survey Result" sheetId="1" r:id="rId4"/>
    <sheet state="visible" name="Sheet1" sheetId="2" r:id="rId5"/>
    <sheet state="visible" name="Driver License Graphs" sheetId="3" r:id="rId6"/>
    <sheet state="visible" name="Lunch Graphs" sheetId="4" r:id="rId7"/>
  </sheets>
  <definedNames/>
  <calcPr/>
  <extLst>
    <ext uri="GoogleSheetsCustomDataVersion1">
      <go:sheetsCustomData xmlns:go="http://customooxmlschemas.google.com/" r:id="rId8" roundtripDataSignature="AMtx7mirZHEvMUL+7imnvd2LAaHm+uu/YA=="/>
    </ext>
  </extLst>
</workbook>
</file>

<file path=xl/sharedStrings.xml><?xml version="1.0" encoding="utf-8"?>
<sst xmlns="http://schemas.openxmlformats.org/spreadsheetml/2006/main" count="75" uniqueCount="54">
  <si>
    <t>Years</t>
  </si>
  <si>
    <t>Months</t>
  </si>
  <si>
    <t>Age (months)</t>
  </si>
  <si>
    <t>Grade</t>
  </si>
  <si>
    <t>Driver License</t>
  </si>
  <si>
    <t>Leave Campus for Lunch</t>
  </si>
  <si>
    <t>Perception About Lunches</t>
  </si>
  <si>
    <t>Predicted</t>
  </si>
  <si>
    <t>Residual</t>
  </si>
  <si>
    <t>Min</t>
  </si>
  <si>
    <t>Q1</t>
  </si>
  <si>
    <t>Med</t>
  </si>
  <si>
    <t>Q3</t>
  </si>
  <si>
    <t>Max</t>
  </si>
  <si>
    <t>IQR</t>
  </si>
  <si>
    <t>Mean</t>
  </si>
  <si>
    <t>SD</t>
  </si>
  <si>
    <t>Range</t>
  </si>
  <si>
    <t>Well the equation that I get from calculator is different from what excel says... I'm not really sure what to do I probably just entered my data wrong</t>
  </si>
  <si>
    <t xml:space="preserve">excel: y = 0.1046x + 1.6306, R² = 0.2319, r=.4816
</t>
  </si>
  <si>
    <t>also i'm really not really convinced that there's 103 points on that graph</t>
  </si>
  <si>
    <t>oh that's because some of the points are the same, so they will be on each other</t>
  </si>
  <si>
    <t>just go with excel i guess</t>
  </si>
  <si>
    <t>Oh nice</t>
  </si>
  <si>
    <t>So you might want to check this since the box and whisker plot I got for the lunch variable looks like this</t>
  </si>
  <si>
    <t>DL1</t>
  </si>
  <si>
    <t>Lunch1</t>
  </si>
  <si>
    <t>DL3</t>
  </si>
  <si>
    <t>Lunch3</t>
  </si>
  <si>
    <t>DL5</t>
  </si>
  <si>
    <t>Lunch5</t>
  </si>
  <si>
    <t>Upper Limits</t>
  </si>
  <si>
    <t>Labels</t>
  </si>
  <si>
    <t>Bin</t>
  </si>
  <si>
    <t>Frequency</t>
  </si>
  <si>
    <t>DL Sorted</t>
  </si>
  <si>
    <t>Stem</t>
  </si>
  <si>
    <t>Leaf</t>
  </si>
  <si>
    <t>Leaf Position</t>
  </si>
  <si>
    <t>1-6</t>
  </si>
  <si>
    <t>7-12</t>
  </si>
  <si>
    <t>13-18</t>
  </si>
  <si>
    <t>19-24</t>
  </si>
  <si>
    <t>25-30</t>
  </si>
  <si>
    <t>More</t>
  </si>
  <si>
    <t>Cumulative %</t>
  </si>
  <si>
    <t>Frequency Table</t>
  </si>
  <si>
    <t>Cumulative Frequency</t>
  </si>
  <si>
    <t>Relative Frequency</t>
  </si>
  <si>
    <t>Cumulative Relative Frequency</t>
  </si>
  <si>
    <t>Total</t>
  </si>
  <si>
    <t>103</t>
  </si>
  <si>
    <t>1</t>
  </si>
  <si>
    <t>100.00%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</si>
</sst>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</font>
    <font>
      <color theme="1"/>
      <name val="Calibri"/>
    </font>
    <font>
      <sz val="11.0"/>
      <color rgb="FF000000"/>
      <name val="Docs-Calibri"/>
    </font>
    <font>
      <sz val="11.0"/>
      <color theme="1"/>
      <name val="Calibri"/>
    </font>
    <font>
      <i/>
      <sz val="11.0"/>
      <color theme="1"/>
      <name val="Calibri"/>
    </font>
    <font>
      <b/>
      <color theme="1"/>
      <name val="Calibri"/>
    </font>
    <font>
      <sz val="11.0"/>
      <color rgb="FF333333"/>
      <name val="Consolas"/>
    </font>
    <font>
      <b/>
      <color rgb="FF000000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999999"/>
      </right>
      <top style="thin">
        <color rgb="FFFFFFFF"/>
      </top>
    </border>
    <border>
      <left style="thin">
        <color rgb="FF999999"/>
      </left>
      <top style="thin">
        <color rgb="FFFFFFFF"/>
      </top>
      <bottom style="thin">
        <color rgb="FF999999"/>
      </bottom>
    </border>
    <border>
      <left style="thin">
        <color rgb="FFFFFFFF"/>
      </left>
      <top style="thin">
        <color rgb="FFFFFFFF"/>
      </top>
      <bottom style="thin">
        <color rgb="FF999999"/>
      </bottom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49" xfId="0" applyFont="1" applyNumberFormat="1"/>
    <xf borderId="1" fillId="0" fontId="4" numFmtId="0" xfId="0" applyAlignment="1" applyBorder="1" applyFont="1">
      <alignment horizontal="center"/>
    </xf>
    <xf borderId="0" fillId="0" fontId="3" numFmtId="0" xfId="0" applyFont="1"/>
    <xf borderId="0" fillId="0" fontId="5" numFmtId="0" xfId="0" applyAlignment="1" applyFont="1">
      <alignment horizontal="center"/>
    </xf>
    <xf borderId="0" fillId="0" fontId="6" numFmtId="0" xfId="0" applyFont="1"/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7" numFmtId="0" xfId="0" applyFont="1"/>
    <xf borderId="0" fillId="0" fontId="3" numFmtId="10" xfId="0" applyFont="1" applyNumberFormat="1"/>
    <xf borderId="0" fillId="0" fontId="8" numFmtId="0" xfId="0" applyAlignment="1" applyFont="1">
      <alignment horizontal="center"/>
    </xf>
    <xf borderId="0" fillId="0" fontId="1" numFmtId="0" xfId="0" applyFont="1"/>
    <xf borderId="0" fillId="0" fontId="3" numFmtId="0" xfId="0" applyFont="1"/>
    <xf borderId="0" fillId="0" fontId="3" numFmtId="10" xfId="0" applyFont="1" applyNumberFormat="1"/>
    <xf borderId="2" fillId="0" fontId="3" numFmtId="10" xfId="0" applyBorder="1" applyFont="1" applyNumberFormat="1"/>
    <xf borderId="0" fillId="0" fontId="3" numFmtId="0" xfId="0" applyAlignment="1" applyFont="1">
      <alignment horizontal="right"/>
    </xf>
    <xf borderId="0" fillId="0" fontId="3" numFmtId="10" xfId="0" applyAlignment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Lunch Graphs-style">
      <tableStyleElement dxfId="1" type="headerRow"/>
      <tableStyleElement dxfId="2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'Statistics Data - Survey Result'!$E$2:$E$104</c:f>
            </c:numRef>
          </c:xVal>
          <c:yVal>
            <c:numRef>
              <c:f>'Statistics Data - Survey Result'!$I$2:$I$104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541066"/>
        <c:axId val="746145320"/>
      </c:scatterChart>
      <c:valAx>
        <c:axId val="5105410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Months Had Driver License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145320"/>
        <c:minorUnit val="1.0"/>
      </c:valAx>
      <c:valAx>
        <c:axId val="746145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Residual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0541066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Months Had Driver License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Frequency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'Driver License Graphs'!$E$2:$E$8</c:f>
            </c:strRef>
          </c:cat>
          <c:val>
            <c:numRef>
              <c:f>'Driver License Graphs'!$F$2:$F$8</c:f>
              <c:numCache/>
            </c:numRef>
          </c:val>
        </c:ser>
        <c:axId val="1347813238"/>
        <c:axId val="405428537"/>
      </c:barChart>
      <c:catAx>
        <c:axId val="1347813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Months Had Driver License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5428537"/>
      </c:catAx>
      <c:valAx>
        <c:axId val="405428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7813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Number of Months Had Driver License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82"/>
            <c:marker>
              <c:symbol val="none"/>
            </c:marker>
          </c:dPt>
          <c:xVal>
            <c:numRef>
              <c:f>'Driver License Graphs'!$U$2:$U$104</c:f>
            </c:numRef>
          </c:xVal>
          <c:yVal>
            <c:numRef>
              <c:f>'Driver License Graphs'!$S$2:$S$104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205375"/>
        <c:axId val="1071925756"/>
      </c:scatterChart>
      <c:valAx>
        <c:axId val="1736205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Key: 1|5 represents having had a driver license for 15 months</a:t>
                </a:r>
              </a:p>
            </c:rich>
          </c:tx>
          <c:overlay val="0"/>
        </c:title>
        <c:numFmt formatCode="General" sourceLinked="0"/>
        <c:majorTickMark val="cross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1071925756"/>
        <c:majorUnit val="5.0"/>
        <c:minorUnit val="1.0"/>
      </c:valAx>
      <c:valAx>
        <c:axId val="1071925756"/>
        <c:scaling>
          <c:orientation val="minMax"/>
          <c:max val="2.5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1736205375"/>
        <c:maj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Number of Times Leave Campus for Lunch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Frequency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'Lunch Graphs'!$D$2:$D$8</c:f>
            </c:strRef>
          </c:cat>
          <c:val>
            <c:numRef>
              <c:f>'Lunch Graphs'!$E$2:$E$8</c:f>
              <c:numCache/>
            </c:numRef>
          </c:val>
        </c:ser>
        <c:axId val="1644220975"/>
        <c:axId val="1776700573"/>
      </c:barChart>
      <c:catAx>
        <c:axId val="1644220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Number of Times Leave Campus for Lunch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700573"/>
      </c:catAx>
      <c:valAx>
        <c:axId val="1776700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2209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sans-serif"/>
              </a:defRPr>
            </a:pPr>
            <a:r>
              <a:rPr b="1" i="0" sz="1400">
                <a:solidFill>
                  <a:srgbClr val="000000"/>
                </a:solidFill>
                <a:latin typeface="sans-serif"/>
              </a:rPr>
              <a:t>Ogive for Number of Times Leave Campus for Lunch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'Lunch Graphs'!$F$20:$F$25</c:f>
              <c:numCache/>
            </c:numRef>
          </c:val>
          <c:smooth val="0"/>
        </c:ser>
        <c:axId val="106312267"/>
        <c:axId val="1168092035"/>
      </c:lineChart>
      <c:catAx>
        <c:axId val="106312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serif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serif"/>
                  </a:rPr>
                  <a:t>Number of Times Leave Campus for Lunch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8092035"/>
      </c:catAx>
      <c:valAx>
        <c:axId val="1168092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sans-serif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sans-serif"/>
                  </a:rPr>
                  <a:t>Cumulative Relative 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31226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21</xdr:row>
      <xdr:rowOff>333375</xdr:rowOff>
    </xdr:from>
    <xdr:ext cx="5715000" cy="3533775"/>
    <xdr:graphicFrame>
      <xdr:nvGraphicFramePr>
        <xdr:cNvPr id="135202918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581025</xdr:colOff>
      <xdr:row>0</xdr:row>
      <xdr:rowOff>0</xdr:rowOff>
    </xdr:from>
    <xdr:ext cx="5762625" cy="34575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43</xdr:row>
      <xdr:rowOff>-209550</xdr:rowOff>
    </xdr:from>
    <xdr:ext cx="4752975" cy="28575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10</xdr:row>
      <xdr:rowOff>180975</xdr:rowOff>
    </xdr:from>
    <xdr:ext cx="5172075" cy="3762375"/>
    <xdr:graphicFrame>
      <xdr:nvGraphicFramePr>
        <xdr:cNvPr id="118811887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561975</xdr:colOff>
      <xdr:row>7</xdr:row>
      <xdr:rowOff>142875</xdr:rowOff>
    </xdr:from>
    <xdr:ext cx="9839325" cy="7629525"/>
    <xdr:graphicFrame>
      <xdr:nvGraphicFramePr>
        <xdr:cNvPr id="177683504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295275</xdr:colOff>
      <xdr:row>40</xdr:row>
      <xdr:rowOff>104775</xdr:rowOff>
    </xdr:from>
    <xdr:ext cx="6362700" cy="50768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704850</xdr:colOff>
      <xdr:row>0</xdr:row>
      <xdr:rowOff>171450</xdr:rowOff>
    </xdr:from>
    <xdr:ext cx="9982200" cy="3648075"/>
    <xdr:graphicFrame>
      <xdr:nvGraphicFramePr>
        <xdr:cNvPr id="7685108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581025</xdr:colOff>
      <xdr:row>30</xdr:row>
      <xdr:rowOff>142875</xdr:rowOff>
    </xdr:from>
    <xdr:ext cx="5581650" cy="4076700"/>
    <xdr:graphicFrame>
      <xdr:nvGraphicFramePr>
        <xdr:cNvPr id="590624504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G23:K30" displayName="Table_1" id="1">
  <tableColumns count="5">
    <tableColumn name="Leave Campus for Lunch" id="1"/>
    <tableColumn name="Frequency" id="2"/>
    <tableColumn name="Cumulative Frequency" id="3"/>
    <tableColumn name="Relative Frequency" id="4"/>
    <tableColumn name="Cumulative Relative Frequency" id="5"/>
  </tableColumns>
  <tableStyleInfo name="Lunch Graph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7.63"/>
    <col customWidth="1" min="6" max="6" width="19.75"/>
    <col customWidth="1" min="7" max="7" width="20.5"/>
    <col customWidth="1" min="8" max="20" width="7.63"/>
    <col customWidth="1" min="21" max="21" width="19.0"/>
    <col customWidth="1" min="22" max="22" width="11.38"/>
    <col customWidth="1" min="23" max="23" width="19.0"/>
    <col customWidth="1" min="24" max="3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14</v>
      </c>
      <c r="AB1" s="2" t="s">
        <v>15</v>
      </c>
      <c r="AC1" s="2" t="s">
        <v>16</v>
      </c>
      <c r="AD1" s="2" t="s">
        <v>17</v>
      </c>
      <c r="AE1" s="2"/>
    </row>
    <row r="2">
      <c r="A2" s="1">
        <v>16.0</v>
      </c>
      <c r="B2" s="1">
        <v>0.0</v>
      </c>
      <c r="C2" s="1">
        <v>192.0</v>
      </c>
      <c r="D2" s="1">
        <v>10.0</v>
      </c>
      <c r="E2" s="1">
        <v>0.0</v>
      </c>
      <c r="F2" s="1">
        <v>4.0</v>
      </c>
      <c r="G2" s="1">
        <v>9.0</v>
      </c>
      <c r="H2" s="1">
        <f t="shared" ref="H2:H104" si="1">0.1046*E2+1.6306</f>
        <v>1.6306</v>
      </c>
      <c r="I2" s="1">
        <f t="shared" ref="I2:I104" si="2">F2-H2</f>
        <v>2.3694</v>
      </c>
      <c r="U2" s="2" t="s">
        <v>4</v>
      </c>
      <c r="V2" s="2">
        <f>MIN(E2:E104)</f>
        <v>0</v>
      </c>
      <c r="W2" s="1">
        <f>QUARTILE(E2:E104, 1)</f>
        <v>0</v>
      </c>
      <c r="X2" s="1">
        <f>MEDIAN(E2:E104)</f>
        <v>6</v>
      </c>
      <c r="Y2" s="1">
        <f>QUARTILE(E2:E104,3)</f>
        <v>16.5</v>
      </c>
      <c r="Z2" s="1">
        <f>MAX(E2:E104)</f>
        <v>29</v>
      </c>
      <c r="AA2" s="1">
        <f t="shared" ref="AA2:AA3" si="3">Y2-W2</f>
        <v>16.5</v>
      </c>
      <c r="AB2" s="1">
        <f>AVERAGE(E2:E104)</f>
        <v>8.54368932</v>
      </c>
      <c r="AC2" s="1">
        <f>STDEV(E2:E104)</f>
        <v>9.404605358</v>
      </c>
      <c r="AD2" s="1">
        <f t="shared" ref="AD2:AD3" si="4">Z2-V2</f>
        <v>29</v>
      </c>
    </row>
    <row r="3">
      <c r="A3" s="1">
        <v>15.0</v>
      </c>
      <c r="B3" s="1">
        <v>11.0</v>
      </c>
      <c r="C3" s="1">
        <v>191.0</v>
      </c>
      <c r="D3" s="1">
        <v>10.0</v>
      </c>
      <c r="E3" s="1">
        <v>0.0</v>
      </c>
      <c r="F3" s="1">
        <v>0.0</v>
      </c>
      <c r="G3" s="1">
        <v>8.0</v>
      </c>
      <c r="H3" s="1">
        <f t="shared" si="1"/>
        <v>1.6306</v>
      </c>
      <c r="I3" s="1">
        <f t="shared" si="2"/>
        <v>-1.6306</v>
      </c>
      <c r="U3" s="2" t="s">
        <v>5</v>
      </c>
      <c r="V3" s="2">
        <f>MIN(F2:F104)</f>
        <v>0</v>
      </c>
      <c r="W3" s="1">
        <f>QUARTILE(F2:F104, 1)</f>
        <v>0</v>
      </c>
      <c r="X3" s="1">
        <f>MEDIAN(F2:F104)</f>
        <v>3</v>
      </c>
      <c r="Y3" s="1">
        <f>QUARTILE(F2:F104,3)</f>
        <v>5</v>
      </c>
      <c r="Z3" s="1">
        <f>MAX(F2:F104)</f>
        <v>5</v>
      </c>
      <c r="AA3" s="1">
        <f t="shared" si="3"/>
        <v>5</v>
      </c>
      <c r="AB3" s="1">
        <f>AVERAGE(F2:F104)</f>
        <v>2.524271845</v>
      </c>
      <c r="AC3" s="1">
        <f>STDEV(F2:F104)</f>
        <v>2.042896157</v>
      </c>
      <c r="AD3" s="1">
        <f t="shared" si="4"/>
        <v>5</v>
      </c>
    </row>
    <row r="4">
      <c r="A4" s="1">
        <v>16.0</v>
      </c>
      <c r="B4" s="1">
        <v>1.0</v>
      </c>
      <c r="C4" s="1">
        <v>193.0</v>
      </c>
      <c r="D4" s="1">
        <v>10.0</v>
      </c>
      <c r="E4" s="1">
        <v>0.0</v>
      </c>
      <c r="F4" s="1">
        <v>0.0</v>
      </c>
      <c r="G4" s="1">
        <v>9.0</v>
      </c>
      <c r="H4" s="1">
        <f t="shared" si="1"/>
        <v>1.6306</v>
      </c>
      <c r="I4" s="1">
        <f t="shared" si="2"/>
        <v>-1.6306</v>
      </c>
    </row>
    <row r="5">
      <c r="A5" s="1">
        <v>15.0</v>
      </c>
      <c r="B5" s="1">
        <v>8.0</v>
      </c>
      <c r="C5" s="1">
        <v>188.0</v>
      </c>
      <c r="D5" s="1">
        <v>10.0</v>
      </c>
      <c r="E5" s="1">
        <v>0.0</v>
      </c>
      <c r="F5" s="1">
        <v>1.0</v>
      </c>
      <c r="G5" s="1">
        <v>8.0</v>
      </c>
      <c r="H5" s="1">
        <f t="shared" si="1"/>
        <v>1.6306</v>
      </c>
      <c r="I5" s="1">
        <f t="shared" si="2"/>
        <v>-0.6306</v>
      </c>
    </row>
    <row r="6">
      <c r="A6" s="1">
        <v>16.0</v>
      </c>
      <c r="B6" s="1">
        <v>1.0</v>
      </c>
      <c r="C6" s="1">
        <v>193.0</v>
      </c>
      <c r="D6" s="1">
        <v>10.0</v>
      </c>
      <c r="E6" s="1">
        <v>0.0</v>
      </c>
      <c r="F6" s="1">
        <v>0.0</v>
      </c>
      <c r="G6" s="1">
        <v>8.0</v>
      </c>
      <c r="H6" s="1">
        <f t="shared" si="1"/>
        <v>1.6306</v>
      </c>
      <c r="I6" s="1">
        <f t="shared" si="2"/>
        <v>-1.6306</v>
      </c>
    </row>
    <row r="7">
      <c r="A7" s="1">
        <v>15.0</v>
      </c>
      <c r="B7" s="1">
        <v>10.0</v>
      </c>
      <c r="C7" s="1">
        <v>190.0</v>
      </c>
      <c r="D7" s="1">
        <v>10.0</v>
      </c>
      <c r="E7" s="1">
        <v>7.0</v>
      </c>
      <c r="F7" s="1">
        <v>0.0</v>
      </c>
      <c r="G7" s="1">
        <v>9.0</v>
      </c>
      <c r="H7" s="1">
        <f t="shared" si="1"/>
        <v>2.3628</v>
      </c>
      <c r="I7" s="1">
        <f t="shared" si="2"/>
        <v>-2.3628</v>
      </c>
    </row>
    <row r="8">
      <c r="A8" s="1">
        <v>15.0</v>
      </c>
      <c r="B8" s="1">
        <v>3.0</v>
      </c>
      <c r="C8" s="1">
        <v>183.0</v>
      </c>
      <c r="D8" s="1">
        <v>10.0</v>
      </c>
      <c r="E8" s="1">
        <v>0.0</v>
      </c>
      <c r="F8" s="1">
        <v>3.0</v>
      </c>
      <c r="G8" s="1">
        <v>9.0</v>
      </c>
      <c r="H8" s="1">
        <f t="shared" si="1"/>
        <v>1.6306</v>
      </c>
      <c r="I8" s="1">
        <f t="shared" si="2"/>
        <v>1.3694</v>
      </c>
    </row>
    <row r="9">
      <c r="A9" s="1">
        <v>15.0</v>
      </c>
      <c r="B9" s="1">
        <v>10.0</v>
      </c>
      <c r="C9" s="1">
        <v>190.0</v>
      </c>
      <c r="D9" s="1">
        <v>10.0</v>
      </c>
      <c r="E9" s="1">
        <v>0.0</v>
      </c>
      <c r="F9" s="1">
        <v>1.0</v>
      </c>
      <c r="G9" s="1">
        <v>10.0</v>
      </c>
      <c r="H9" s="1">
        <f t="shared" si="1"/>
        <v>1.6306</v>
      </c>
      <c r="I9" s="1">
        <f t="shared" si="2"/>
        <v>-0.6306</v>
      </c>
    </row>
    <row r="10">
      <c r="A10" s="1">
        <v>16.0</v>
      </c>
      <c r="B10" s="1">
        <v>2.0</v>
      </c>
      <c r="C10" s="1">
        <v>194.0</v>
      </c>
      <c r="D10" s="1">
        <v>10.0</v>
      </c>
      <c r="E10" s="1">
        <v>0.0</v>
      </c>
      <c r="F10" s="1">
        <v>0.0</v>
      </c>
      <c r="G10" s="1">
        <v>4.0</v>
      </c>
      <c r="H10" s="1">
        <f t="shared" si="1"/>
        <v>1.6306</v>
      </c>
      <c r="I10" s="1">
        <f t="shared" si="2"/>
        <v>-1.6306</v>
      </c>
    </row>
    <row r="11">
      <c r="A11" s="1">
        <v>15.0</v>
      </c>
      <c r="B11" s="1">
        <v>6.0</v>
      </c>
      <c r="C11" s="1">
        <v>186.0</v>
      </c>
      <c r="D11" s="1">
        <v>10.0</v>
      </c>
      <c r="E11" s="1">
        <v>0.0</v>
      </c>
      <c r="F11" s="1">
        <v>2.0</v>
      </c>
      <c r="G11" s="1">
        <v>10.0</v>
      </c>
      <c r="H11" s="1">
        <f t="shared" si="1"/>
        <v>1.6306</v>
      </c>
      <c r="I11" s="1">
        <f t="shared" si="2"/>
        <v>0.3694</v>
      </c>
    </row>
    <row r="12">
      <c r="A12" s="1">
        <v>16.0</v>
      </c>
      <c r="B12" s="1">
        <v>1.0</v>
      </c>
      <c r="C12" s="1">
        <v>193.0</v>
      </c>
      <c r="D12" s="1">
        <v>10.0</v>
      </c>
      <c r="E12" s="1">
        <v>0.0</v>
      </c>
      <c r="F12" s="1">
        <v>3.0</v>
      </c>
      <c r="G12" s="1">
        <v>10.0</v>
      </c>
      <c r="H12" s="1">
        <f t="shared" si="1"/>
        <v>1.6306</v>
      </c>
      <c r="I12" s="1">
        <f t="shared" si="2"/>
        <v>1.3694</v>
      </c>
    </row>
    <row r="13">
      <c r="A13" s="1">
        <v>15.0</v>
      </c>
      <c r="B13" s="1">
        <v>5.0</v>
      </c>
      <c r="C13" s="1">
        <v>185.0</v>
      </c>
      <c r="D13" s="1">
        <v>10.0</v>
      </c>
      <c r="E13" s="1">
        <v>0.0</v>
      </c>
      <c r="F13" s="1">
        <v>0.0</v>
      </c>
      <c r="G13" s="1">
        <v>7.0</v>
      </c>
      <c r="H13" s="1">
        <f t="shared" si="1"/>
        <v>1.6306</v>
      </c>
      <c r="I13" s="1">
        <f t="shared" si="2"/>
        <v>-1.6306</v>
      </c>
    </row>
    <row r="14">
      <c r="A14" s="1">
        <v>15.0</v>
      </c>
      <c r="B14" s="1">
        <v>4.0</v>
      </c>
      <c r="C14" s="1">
        <v>184.0</v>
      </c>
      <c r="D14" s="1">
        <v>10.0</v>
      </c>
      <c r="E14" s="1">
        <v>0.0</v>
      </c>
      <c r="F14" s="1">
        <v>0.0</v>
      </c>
      <c r="G14" s="1">
        <v>8.0</v>
      </c>
      <c r="H14" s="1">
        <f t="shared" si="1"/>
        <v>1.6306</v>
      </c>
      <c r="I14" s="1">
        <f t="shared" si="2"/>
        <v>-1.6306</v>
      </c>
    </row>
    <row r="15">
      <c r="A15" s="1">
        <v>15.0</v>
      </c>
      <c r="B15" s="1">
        <v>8.0</v>
      </c>
      <c r="C15" s="1">
        <v>188.0</v>
      </c>
      <c r="D15" s="1">
        <v>10.0</v>
      </c>
      <c r="E15" s="1">
        <v>0.0</v>
      </c>
      <c r="F15" s="1">
        <v>2.0</v>
      </c>
      <c r="G15" s="1">
        <v>7.0</v>
      </c>
      <c r="H15" s="1">
        <f t="shared" si="1"/>
        <v>1.6306</v>
      </c>
      <c r="I15" s="1">
        <f t="shared" si="2"/>
        <v>0.3694</v>
      </c>
    </row>
    <row r="16">
      <c r="A16" s="1">
        <v>17.0</v>
      </c>
      <c r="B16" s="1">
        <v>2.0</v>
      </c>
      <c r="C16" s="1">
        <v>206.0</v>
      </c>
      <c r="D16" s="1">
        <v>12.0</v>
      </c>
      <c r="E16" s="1">
        <v>14.0</v>
      </c>
      <c r="F16" s="1">
        <v>5.0</v>
      </c>
      <c r="G16" s="1">
        <v>10.0</v>
      </c>
      <c r="H16" s="1">
        <f t="shared" si="1"/>
        <v>3.095</v>
      </c>
      <c r="I16" s="1">
        <f t="shared" si="2"/>
        <v>1.905</v>
      </c>
    </row>
    <row r="17">
      <c r="A17" s="1">
        <v>17.0</v>
      </c>
      <c r="B17" s="1">
        <v>1.0</v>
      </c>
      <c r="C17" s="1">
        <v>205.0</v>
      </c>
      <c r="D17" s="1">
        <v>11.0</v>
      </c>
      <c r="E17" s="1">
        <v>11.0</v>
      </c>
      <c r="F17" s="1">
        <v>3.0</v>
      </c>
      <c r="G17" s="1">
        <v>1.0</v>
      </c>
      <c r="H17" s="1">
        <f t="shared" si="1"/>
        <v>2.7812</v>
      </c>
      <c r="I17" s="1">
        <f t="shared" si="2"/>
        <v>0.2188</v>
      </c>
    </row>
    <row r="18">
      <c r="A18" s="1">
        <v>17.0</v>
      </c>
      <c r="B18" s="1">
        <v>4.0</v>
      </c>
      <c r="C18" s="1">
        <v>208.0</v>
      </c>
      <c r="D18" s="1">
        <v>11.0</v>
      </c>
      <c r="E18" s="1">
        <v>15.0</v>
      </c>
      <c r="F18" s="1">
        <v>5.0</v>
      </c>
      <c r="G18" s="1">
        <v>7.0</v>
      </c>
      <c r="H18" s="1">
        <f t="shared" si="1"/>
        <v>3.1996</v>
      </c>
      <c r="I18" s="1">
        <f t="shared" si="2"/>
        <v>1.8004</v>
      </c>
    </row>
    <row r="19">
      <c r="A19" s="1">
        <v>16.0</v>
      </c>
      <c r="B19" s="1">
        <v>9.0</v>
      </c>
      <c r="C19" s="1">
        <v>201.0</v>
      </c>
      <c r="D19" s="1">
        <v>11.0</v>
      </c>
      <c r="E19" s="1">
        <v>6.0</v>
      </c>
      <c r="F19" s="1">
        <v>5.0</v>
      </c>
      <c r="G19" s="1">
        <v>5.0</v>
      </c>
      <c r="H19" s="1">
        <f t="shared" si="1"/>
        <v>2.2582</v>
      </c>
      <c r="I19" s="1">
        <f t="shared" si="2"/>
        <v>2.7418</v>
      </c>
    </row>
    <row r="20">
      <c r="A20" s="1">
        <v>16.0</v>
      </c>
      <c r="B20" s="1">
        <v>9.0</v>
      </c>
      <c r="C20" s="1">
        <v>201.0</v>
      </c>
      <c r="D20" s="1">
        <v>11.0</v>
      </c>
      <c r="E20" s="1">
        <v>8.0</v>
      </c>
      <c r="F20" s="1">
        <v>3.0</v>
      </c>
      <c r="G20" s="1">
        <v>3.0</v>
      </c>
      <c r="H20" s="1">
        <f t="shared" si="1"/>
        <v>2.4674</v>
      </c>
      <c r="I20" s="1">
        <f t="shared" si="2"/>
        <v>0.5326</v>
      </c>
      <c r="K20" s="2" t="s">
        <v>18</v>
      </c>
    </row>
    <row r="21" ht="15.75" customHeight="1">
      <c r="A21" s="1">
        <v>17.0</v>
      </c>
      <c r="B21" s="1">
        <v>2.0</v>
      </c>
      <c r="C21" s="1">
        <v>206.0</v>
      </c>
      <c r="D21" s="1">
        <v>11.0</v>
      </c>
      <c r="E21" s="1">
        <v>14.0</v>
      </c>
      <c r="F21" s="1">
        <v>4.0</v>
      </c>
      <c r="G21" s="1">
        <v>3.0</v>
      </c>
      <c r="H21" s="1">
        <f t="shared" si="1"/>
        <v>3.095</v>
      </c>
      <c r="I21" s="1">
        <f t="shared" si="2"/>
        <v>0.905</v>
      </c>
      <c r="K21" s="3"/>
    </row>
    <row r="22" ht="15.75" customHeight="1">
      <c r="A22" s="1">
        <v>16.0</v>
      </c>
      <c r="B22" s="1">
        <v>9.0</v>
      </c>
      <c r="C22" s="1">
        <v>201.0</v>
      </c>
      <c r="D22" s="1">
        <v>11.0</v>
      </c>
      <c r="E22" s="1">
        <v>9.0</v>
      </c>
      <c r="F22" s="1">
        <v>1.0</v>
      </c>
      <c r="G22" s="1">
        <v>10.0</v>
      </c>
      <c r="H22" s="1">
        <f t="shared" si="1"/>
        <v>2.572</v>
      </c>
      <c r="I22" s="1">
        <f t="shared" si="2"/>
        <v>-1.572</v>
      </c>
      <c r="K22" s="2" t="s">
        <v>19</v>
      </c>
    </row>
    <row r="23" ht="15.75" customHeight="1">
      <c r="A23" s="1">
        <v>17.0</v>
      </c>
      <c r="B23" s="1">
        <v>9.0</v>
      </c>
      <c r="C23" s="1">
        <v>213.0</v>
      </c>
      <c r="D23" s="1">
        <v>12.0</v>
      </c>
      <c r="E23" s="1">
        <v>21.0</v>
      </c>
      <c r="F23" s="1">
        <v>5.0</v>
      </c>
      <c r="G23" s="1">
        <v>5.0</v>
      </c>
      <c r="H23" s="1">
        <f t="shared" si="1"/>
        <v>3.8272</v>
      </c>
      <c r="I23" s="1">
        <f t="shared" si="2"/>
        <v>1.1728</v>
      </c>
      <c r="K23" s="2" t="s">
        <v>20</v>
      </c>
    </row>
    <row r="24" ht="15.75" customHeight="1">
      <c r="A24" s="1">
        <v>17.0</v>
      </c>
      <c r="B24" s="1">
        <v>10.0</v>
      </c>
      <c r="C24" s="1">
        <v>214.0</v>
      </c>
      <c r="D24" s="1">
        <v>12.0</v>
      </c>
      <c r="E24" s="1">
        <v>16.0</v>
      </c>
      <c r="F24" s="1">
        <v>1.0</v>
      </c>
      <c r="G24" s="1">
        <v>2.0</v>
      </c>
      <c r="H24" s="1">
        <f t="shared" si="1"/>
        <v>3.3042</v>
      </c>
      <c r="I24" s="1">
        <f t="shared" si="2"/>
        <v>-2.3042</v>
      </c>
      <c r="K24" s="2" t="s">
        <v>21</v>
      </c>
    </row>
    <row r="25" ht="15.75" customHeight="1">
      <c r="A25" s="1">
        <v>17.0</v>
      </c>
      <c r="B25" s="1">
        <v>11.0</v>
      </c>
      <c r="C25" s="1">
        <v>215.0</v>
      </c>
      <c r="D25" s="1">
        <v>12.0</v>
      </c>
      <c r="E25" s="1">
        <v>15.0</v>
      </c>
      <c r="F25" s="1">
        <v>1.0</v>
      </c>
      <c r="G25" s="1">
        <v>10.0</v>
      </c>
      <c r="H25" s="1">
        <f t="shared" si="1"/>
        <v>3.1996</v>
      </c>
      <c r="I25" s="1">
        <f t="shared" si="2"/>
        <v>-2.1996</v>
      </c>
      <c r="K25" s="2" t="s">
        <v>22</v>
      </c>
    </row>
    <row r="26" ht="15.75" customHeight="1">
      <c r="A26" s="1">
        <v>17.0</v>
      </c>
      <c r="B26" s="1">
        <v>8.0</v>
      </c>
      <c r="C26" s="1">
        <v>212.0</v>
      </c>
      <c r="D26" s="1">
        <v>12.0</v>
      </c>
      <c r="E26" s="1">
        <v>18.0</v>
      </c>
      <c r="F26" s="1">
        <v>5.0</v>
      </c>
      <c r="G26" s="1">
        <v>1.0</v>
      </c>
      <c r="H26" s="1">
        <f t="shared" si="1"/>
        <v>3.5134</v>
      </c>
      <c r="I26" s="1">
        <f t="shared" si="2"/>
        <v>1.4866</v>
      </c>
    </row>
    <row r="27" ht="15.75" customHeight="1">
      <c r="A27" s="1">
        <v>17.0</v>
      </c>
      <c r="B27" s="1">
        <v>4.0</v>
      </c>
      <c r="C27" s="1">
        <v>208.0</v>
      </c>
      <c r="D27" s="1">
        <v>12.0</v>
      </c>
      <c r="E27" s="1">
        <v>11.0</v>
      </c>
      <c r="F27" s="1">
        <v>1.0</v>
      </c>
      <c r="G27" s="1">
        <v>3.0</v>
      </c>
      <c r="H27" s="1">
        <f t="shared" si="1"/>
        <v>2.7812</v>
      </c>
      <c r="I27" s="1">
        <f t="shared" si="2"/>
        <v>-1.7812</v>
      </c>
    </row>
    <row r="28" ht="15.75" customHeight="1">
      <c r="A28" s="1">
        <v>17.0</v>
      </c>
      <c r="B28" s="1">
        <v>11.0</v>
      </c>
      <c r="C28" s="1">
        <v>215.0</v>
      </c>
      <c r="D28" s="1">
        <v>12.0</v>
      </c>
      <c r="E28" s="1">
        <v>22.0</v>
      </c>
      <c r="F28" s="1">
        <v>5.0</v>
      </c>
      <c r="G28" s="1">
        <v>4.0</v>
      </c>
      <c r="H28" s="1">
        <f t="shared" si="1"/>
        <v>3.9318</v>
      </c>
      <c r="I28" s="1">
        <f t="shared" si="2"/>
        <v>1.0682</v>
      </c>
    </row>
    <row r="29" ht="15.75" customHeight="1">
      <c r="A29" s="1">
        <v>18.0</v>
      </c>
      <c r="B29" s="1">
        <v>2.0</v>
      </c>
      <c r="C29" s="1">
        <v>218.0</v>
      </c>
      <c r="D29" s="1">
        <v>12.0</v>
      </c>
      <c r="E29" s="1">
        <v>26.0</v>
      </c>
      <c r="F29" s="1">
        <v>1.0</v>
      </c>
      <c r="G29" s="1">
        <v>10.0</v>
      </c>
      <c r="H29" s="1">
        <f t="shared" si="1"/>
        <v>4.3502</v>
      </c>
      <c r="I29" s="1">
        <f t="shared" si="2"/>
        <v>-3.3502</v>
      </c>
    </row>
    <row r="30" ht="15.75" customHeight="1">
      <c r="A30" s="1">
        <v>17.0</v>
      </c>
      <c r="B30" s="1">
        <v>5.0</v>
      </c>
      <c r="C30" s="1">
        <v>209.0</v>
      </c>
      <c r="D30" s="1">
        <v>12.0</v>
      </c>
      <c r="E30" s="1">
        <v>27.0</v>
      </c>
      <c r="F30" s="1">
        <v>0.0</v>
      </c>
      <c r="G30" s="1">
        <v>10.0</v>
      </c>
      <c r="H30" s="1">
        <f t="shared" si="1"/>
        <v>4.4548</v>
      </c>
      <c r="I30" s="1">
        <f t="shared" si="2"/>
        <v>-4.4548</v>
      </c>
    </row>
    <row r="31" ht="15.75" customHeight="1">
      <c r="A31" s="1">
        <v>17.0</v>
      </c>
      <c r="B31" s="1">
        <v>1.0</v>
      </c>
      <c r="C31" s="1">
        <v>205.0</v>
      </c>
      <c r="D31" s="1">
        <v>12.0</v>
      </c>
      <c r="E31" s="1">
        <v>0.0</v>
      </c>
      <c r="F31" s="1">
        <v>3.0</v>
      </c>
      <c r="G31" s="1">
        <v>6.0</v>
      </c>
      <c r="H31" s="1">
        <f t="shared" si="1"/>
        <v>1.6306</v>
      </c>
      <c r="I31" s="1">
        <f t="shared" si="2"/>
        <v>1.3694</v>
      </c>
    </row>
    <row r="32" ht="15.75" customHeight="1">
      <c r="A32" s="1">
        <v>18.0</v>
      </c>
      <c r="B32" s="1">
        <v>2.0</v>
      </c>
      <c r="C32" s="1">
        <v>218.0</v>
      </c>
      <c r="D32" s="1">
        <v>12.0</v>
      </c>
      <c r="E32" s="1">
        <v>27.0</v>
      </c>
      <c r="F32" s="1">
        <v>5.0</v>
      </c>
      <c r="G32" s="1">
        <v>4.0</v>
      </c>
      <c r="H32" s="1">
        <f t="shared" si="1"/>
        <v>4.4548</v>
      </c>
      <c r="I32" s="1">
        <f t="shared" si="2"/>
        <v>0.5452</v>
      </c>
    </row>
    <row r="33" ht="15.75" customHeight="1">
      <c r="A33" s="1">
        <v>17.0</v>
      </c>
      <c r="B33" s="1">
        <v>8.0</v>
      </c>
      <c r="C33" s="1">
        <v>212.0</v>
      </c>
      <c r="D33" s="1">
        <v>12.0</v>
      </c>
      <c r="E33" s="1">
        <v>18.0</v>
      </c>
      <c r="F33" s="1">
        <v>5.0</v>
      </c>
      <c r="G33" s="1">
        <v>8.0</v>
      </c>
      <c r="H33" s="1">
        <f t="shared" si="1"/>
        <v>3.5134</v>
      </c>
      <c r="I33" s="1">
        <f t="shared" si="2"/>
        <v>1.4866</v>
      </c>
    </row>
    <row r="34" ht="15.75" customHeight="1">
      <c r="A34" s="1">
        <v>17.0</v>
      </c>
      <c r="B34" s="1">
        <v>5.0</v>
      </c>
      <c r="C34" s="1">
        <v>209.0</v>
      </c>
      <c r="D34" s="1">
        <v>12.0</v>
      </c>
      <c r="E34" s="1">
        <v>0.0</v>
      </c>
      <c r="F34" s="1">
        <v>2.0</v>
      </c>
      <c r="G34" s="1">
        <v>1.0</v>
      </c>
      <c r="H34" s="1">
        <f t="shared" si="1"/>
        <v>1.6306</v>
      </c>
      <c r="I34" s="1">
        <f t="shared" si="2"/>
        <v>0.3694</v>
      </c>
    </row>
    <row r="35" ht="15.75" customHeight="1">
      <c r="A35" s="1">
        <v>17.0</v>
      </c>
      <c r="B35" s="1">
        <v>4.0</v>
      </c>
      <c r="C35" s="1">
        <v>208.0</v>
      </c>
      <c r="D35" s="1">
        <v>12.0</v>
      </c>
      <c r="E35" s="1">
        <v>0.0</v>
      </c>
      <c r="F35" s="1">
        <v>3.0</v>
      </c>
      <c r="G35" s="1">
        <v>10.0</v>
      </c>
      <c r="H35" s="1">
        <f t="shared" si="1"/>
        <v>1.6306</v>
      </c>
      <c r="I35" s="1">
        <f t="shared" si="2"/>
        <v>1.3694</v>
      </c>
    </row>
    <row r="36" ht="15.75" customHeight="1">
      <c r="A36" s="1">
        <v>17.0</v>
      </c>
      <c r="B36" s="1">
        <v>9.0</v>
      </c>
      <c r="C36" s="1">
        <v>213.0</v>
      </c>
      <c r="D36" s="1">
        <v>12.0</v>
      </c>
      <c r="E36" s="1">
        <v>15.0</v>
      </c>
      <c r="F36" s="1">
        <v>0.0</v>
      </c>
      <c r="G36" s="1">
        <v>10.0</v>
      </c>
      <c r="H36" s="1">
        <f t="shared" si="1"/>
        <v>3.1996</v>
      </c>
      <c r="I36" s="1">
        <f t="shared" si="2"/>
        <v>-3.1996</v>
      </c>
    </row>
    <row r="37" ht="15.75" customHeight="1">
      <c r="A37" s="1">
        <v>18.0</v>
      </c>
      <c r="B37" s="1">
        <v>3.0</v>
      </c>
      <c r="C37" s="1">
        <v>219.0</v>
      </c>
      <c r="D37" s="1">
        <v>12.0</v>
      </c>
      <c r="E37" s="1">
        <v>12.0</v>
      </c>
      <c r="F37" s="1">
        <v>3.0</v>
      </c>
      <c r="G37" s="1">
        <v>5.0</v>
      </c>
      <c r="H37" s="1">
        <f t="shared" si="1"/>
        <v>2.8858</v>
      </c>
      <c r="I37" s="1">
        <f t="shared" si="2"/>
        <v>0.1142</v>
      </c>
      <c r="U37" s="2" t="s">
        <v>23</v>
      </c>
    </row>
    <row r="38" ht="15.75" customHeight="1">
      <c r="A38" s="1">
        <v>18.0</v>
      </c>
      <c r="B38" s="1">
        <v>2.0</v>
      </c>
      <c r="C38" s="1">
        <v>218.0</v>
      </c>
      <c r="D38" s="1">
        <v>12.0</v>
      </c>
      <c r="E38" s="1">
        <v>24.0</v>
      </c>
      <c r="F38" s="1">
        <v>5.0</v>
      </c>
      <c r="G38" s="1">
        <v>10.0</v>
      </c>
      <c r="H38" s="1">
        <f t="shared" si="1"/>
        <v>4.141</v>
      </c>
      <c r="I38" s="1">
        <f t="shared" si="2"/>
        <v>0.859</v>
      </c>
    </row>
    <row r="39" ht="15.75" customHeight="1">
      <c r="A39" s="1">
        <v>17.0</v>
      </c>
      <c r="B39" s="1">
        <v>19.0</v>
      </c>
      <c r="C39" s="1">
        <v>223.0</v>
      </c>
      <c r="D39" s="1">
        <v>12.0</v>
      </c>
      <c r="E39" s="1">
        <v>21.0</v>
      </c>
      <c r="F39" s="1">
        <v>5.0</v>
      </c>
      <c r="G39" s="1">
        <v>5.0</v>
      </c>
      <c r="H39" s="1">
        <f t="shared" si="1"/>
        <v>3.8272</v>
      </c>
      <c r="I39" s="1">
        <f t="shared" si="2"/>
        <v>1.1728</v>
      </c>
    </row>
    <row r="40" ht="15.75" customHeight="1">
      <c r="A40" s="1">
        <v>18.0</v>
      </c>
      <c r="B40" s="1">
        <v>1.0</v>
      </c>
      <c r="C40" s="1">
        <v>217.0</v>
      </c>
      <c r="D40" s="1">
        <v>12.0</v>
      </c>
      <c r="E40" s="1">
        <v>20.0</v>
      </c>
      <c r="F40" s="1">
        <v>5.0</v>
      </c>
      <c r="G40" s="1">
        <v>4.0</v>
      </c>
      <c r="H40" s="1">
        <f t="shared" si="1"/>
        <v>3.7226</v>
      </c>
      <c r="I40" s="1">
        <f t="shared" si="2"/>
        <v>1.2774</v>
      </c>
    </row>
    <row r="41" ht="15.75" customHeight="1">
      <c r="A41" s="1">
        <v>17.0</v>
      </c>
      <c r="B41" s="1">
        <v>6.0</v>
      </c>
      <c r="C41" s="1">
        <v>210.0</v>
      </c>
      <c r="D41" s="1">
        <v>12.0</v>
      </c>
      <c r="E41" s="1">
        <v>18.0</v>
      </c>
      <c r="F41" s="1">
        <v>5.0</v>
      </c>
      <c r="G41" s="1">
        <v>1.0</v>
      </c>
      <c r="H41" s="1">
        <f t="shared" si="1"/>
        <v>3.5134</v>
      </c>
      <c r="I41" s="1">
        <f t="shared" si="2"/>
        <v>1.4866</v>
      </c>
    </row>
    <row r="42" ht="15.75" customHeight="1">
      <c r="A42" s="1">
        <v>17.0</v>
      </c>
      <c r="B42" s="1">
        <v>7.0</v>
      </c>
      <c r="C42" s="1">
        <v>211.0</v>
      </c>
      <c r="D42" s="1">
        <v>12.0</v>
      </c>
      <c r="E42" s="1">
        <v>19.0</v>
      </c>
      <c r="F42" s="1">
        <v>5.0</v>
      </c>
      <c r="G42" s="1">
        <v>1.0</v>
      </c>
      <c r="H42" s="1">
        <f t="shared" si="1"/>
        <v>3.618</v>
      </c>
      <c r="I42" s="1">
        <f t="shared" si="2"/>
        <v>1.382</v>
      </c>
    </row>
    <row r="43" ht="15.75" customHeight="1">
      <c r="A43" s="1">
        <v>18.0</v>
      </c>
      <c r="B43" s="1">
        <v>2.0</v>
      </c>
      <c r="C43" s="1">
        <v>218.0</v>
      </c>
      <c r="D43" s="1">
        <v>12.0</v>
      </c>
      <c r="E43" s="1">
        <v>26.0</v>
      </c>
      <c r="F43" s="1">
        <v>5.0</v>
      </c>
      <c r="G43" s="1">
        <v>7.0</v>
      </c>
      <c r="H43" s="1">
        <f t="shared" si="1"/>
        <v>4.3502</v>
      </c>
      <c r="I43" s="1">
        <f t="shared" si="2"/>
        <v>0.6498</v>
      </c>
    </row>
    <row r="44" ht="15.75" customHeight="1">
      <c r="A44" s="1">
        <v>16.0</v>
      </c>
      <c r="B44" s="1">
        <v>9.0</v>
      </c>
      <c r="C44" s="1">
        <v>201.0</v>
      </c>
      <c r="D44" s="1">
        <v>11.0</v>
      </c>
      <c r="E44" s="1">
        <v>9.0</v>
      </c>
      <c r="F44" s="1">
        <v>5.0</v>
      </c>
      <c r="G44" s="1">
        <v>8.0</v>
      </c>
      <c r="H44" s="1">
        <f t="shared" si="1"/>
        <v>2.572</v>
      </c>
      <c r="I44" s="1">
        <f t="shared" si="2"/>
        <v>2.428</v>
      </c>
    </row>
    <row r="45" ht="15.75" customHeight="1">
      <c r="A45" s="1">
        <v>17.0</v>
      </c>
      <c r="B45" s="1">
        <v>2.0</v>
      </c>
      <c r="C45" s="1">
        <v>206.0</v>
      </c>
      <c r="D45" s="1">
        <v>11.0</v>
      </c>
      <c r="E45" s="1">
        <v>8.0</v>
      </c>
      <c r="F45" s="1">
        <v>1.0</v>
      </c>
      <c r="G45" s="1">
        <v>6.0</v>
      </c>
      <c r="H45" s="1">
        <f t="shared" si="1"/>
        <v>2.4674</v>
      </c>
      <c r="I45" s="1">
        <f t="shared" si="2"/>
        <v>-1.4674</v>
      </c>
    </row>
    <row r="46" ht="15.75" customHeight="1">
      <c r="A46" s="1">
        <v>16.0</v>
      </c>
      <c r="B46" s="1">
        <v>10.0</v>
      </c>
      <c r="C46" s="1">
        <v>202.0</v>
      </c>
      <c r="D46" s="1">
        <v>11.0</v>
      </c>
      <c r="E46" s="1">
        <v>10.0</v>
      </c>
      <c r="F46" s="1">
        <v>1.0</v>
      </c>
      <c r="G46" s="1">
        <v>3.0</v>
      </c>
      <c r="H46" s="1">
        <f t="shared" si="1"/>
        <v>2.6766</v>
      </c>
      <c r="I46" s="1">
        <f t="shared" si="2"/>
        <v>-1.6766</v>
      </c>
    </row>
    <row r="47" ht="15.75" customHeight="1">
      <c r="A47" s="1">
        <v>16.0</v>
      </c>
      <c r="B47" s="1">
        <v>11.0</v>
      </c>
      <c r="C47" s="1">
        <v>203.0</v>
      </c>
      <c r="D47" s="1">
        <v>11.0</v>
      </c>
      <c r="E47" s="1">
        <v>0.0</v>
      </c>
      <c r="F47" s="1">
        <v>0.0</v>
      </c>
      <c r="G47" s="1">
        <v>7.0</v>
      </c>
      <c r="H47" s="1">
        <f t="shared" si="1"/>
        <v>1.6306</v>
      </c>
      <c r="I47" s="1">
        <f t="shared" si="2"/>
        <v>-1.6306</v>
      </c>
    </row>
    <row r="48" ht="15.75" customHeight="1">
      <c r="A48" s="1">
        <v>16.0</v>
      </c>
      <c r="B48" s="1">
        <v>3.0</v>
      </c>
      <c r="C48" s="1">
        <v>195.0</v>
      </c>
      <c r="D48" s="1">
        <v>11.0</v>
      </c>
      <c r="E48" s="1">
        <v>0.0</v>
      </c>
      <c r="F48" s="1">
        <v>3.0</v>
      </c>
      <c r="G48" s="1">
        <v>10.0</v>
      </c>
      <c r="H48" s="1">
        <f t="shared" si="1"/>
        <v>1.6306</v>
      </c>
      <c r="I48" s="1">
        <f t="shared" si="2"/>
        <v>1.3694</v>
      </c>
    </row>
    <row r="49" ht="15.75" customHeight="1">
      <c r="A49" s="1">
        <v>16.0</v>
      </c>
      <c r="B49" s="1">
        <v>7.0</v>
      </c>
      <c r="C49" s="1">
        <v>199.0</v>
      </c>
      <c r="D49" s="1">
        <v>11.0</v>
      </c>
      <c r="E49" s="1">
        <v>6.0</v>
      </c>
      <c r="F49" s="1">
        <v>2.0</v>
      </c>
      <c r="G49" s="1">
        <v>7.0</v>
      </c>
      <c r="H49" s="1">
        <f t="shared" si="1"/>
        <v>2.2582</v>
      </c>
      <c r="I49" s="1">
        <f t="shared" si="2"/>
        <v>-0.2582</v>
      </c>
    </row>
    <row r="50" ht="15.75" customHeight="1">
      <c r="A50" s="1">
        <v>16.0</v>
      </c>
      <c r="B50" s="1">
        <v>9.0</v>
      </c>
      <c r="C50" s="1">
        <v>201.0</v>
      </c>
      <c r="D50" s="1">
        <v>11.0</v>
      </c>
      <c r="E50" s="1">
        <v>0.0</v>
      </c>
      <c r="F50" s="1">
        <v>0.0</v>
      </c>
      <c r="G50" s="1">
        <v>3.0</v>
      </c>
      <c r="H50" s="1">
        <f t="shared" si="1"/>
        <v>1.6306</v>
      </c>
      <c r="I50" s="1">
        <f t="shared" si="2"/>
        <v>-1.6306</v>
      </c>
    </row>
    <row r="51" ht="15.75" customHeight="1">
      <c r="A51" s="1">
        <v>16.0</v>
      </c>
      <c r="B51" s="1">
        <v>6.0</v>
      </c>
      <c r="C51" s="1">
        <v>198.0</v>
      </c>
      <c r="D51" s="1">
        <v>11.0</v>
      </c>
      <c r="E51" s="1">
        <v>0.0</v>
      </c>
      <c r="F51" s="1">
        <v>2.0</v>
      </c>
      <c r="G51" s="1">
        <v>4.0</v>
      </c>
      <c r="H51" s="1">
        <f t="shared" si="1"/>
        <v>1.6306</v>
      </c>
      <c r="I51" s="1">
        <f t="shared" si="2"/>
        <v>0.3694</v>
      </c>
    </row>
    <row r="52" ht="15.75" customHeight="1">
      <c r="A52" s="1">
        <v>16.0</v>
      </c>
      <c r="B52" s="1">
        <v>6.0</v>
      </c>
      <c r="C52" s="1">
        <v>198.0</v>
      </c>
      <c r="D52" s="1">
        <v>11.0</v>
      </c>
      <c r="E52" s="1">
        <v>0.0</v>
      </c>
      <c r="F52" s="1">
        <v>1.0</v>
      </c>
      <c r="G52" s="1">
        <v>1.0</v>
      </c>
      <c r="H52" s="1">
        <f t="shared" si="1"/>
        <v>1.6306</v>
      </c>
      <c r="I52" s="1">
        <f t="shared" si="2"/>
        <v>-0.6306</v>
      </c>
    </row>
    <row r="53" ht="15.75" customHeight="1">
      <c r="A53" s="1">
        <v>16.0</v>
      </c>
      <c r="B53" s="1">
        <v>7.0</v>
      </c>
      <c r="C53" s="1">
        <v>199.0</v>
      </c>
      <c r="D53" s="1">
        <v>11.0</v>
      </c>
      <c r="E53" s="1">
        <v>0.0</v>
      </c>
      <c r="F53" s="1">
        <v>0.0</v>
      </c>
      <c r="G53" s="1">
        <v>10.0</v>
      </c>
      <c r="H53" s="1">
        <f t="shared" si="1"/>
        <v>1.6306</v>
      </c>
      <c r="I53" s="1">
        <f t="shared" si="2"/>
        <v>-1.6306</v>
      </c>
    </row>
    <row r="54" ht="15.75" customHeight="1">
      <c r="A54" s="1">
        <v>16.0</v>
      </c>
      <c r="B54" s="1">
        <v>2.0</v>
      </c>
      <c r="C54" s="1">
        <v>194.0</v>
      </c>
      <c r="D54" s="1">
        <v>11.0</v>
      </c>
      <c r="E54" s="1">
        <v>1.0</v>
      </c>
      <c r="F54" s="1">
        <v>1.0</v>
      </c>
      <c r="G54" s="1">
        <v>7.0</v>
      </c>
      <c r="H54" s="1">
        <f t="shared" si="1"/>
        <v>1.7352</v>
      </c>
      <c r="I54" s="1">
        <f t="shared" si="2"/>
        <v>-0.7352</v>
      </c>
    </row>
    <row r="55" ht="15.75" customHeight="1">
      <c r="A55" s="1">
        <v>16.0</v>
      </c>
      <c r="B55" s="1">
        <v>8.0</v>
      </c>
      <c r="C55" s="1">
        <v>200.0</v>
      </c>
      <c r="D55" s="1">
        <v>11.0</v>
      </c>
      <c r="E55" s="1">
        <v>8.0</v>
      </c>
      <c r="F55" s="1">
        <v>5.0</v>
      </c>
      <c r="G55" s="1">
        <v>4.0</v>
      </c>
      <c r="H55" s="1">
        <f t="shared" si="1"/>
        <v>2.4674</v>
      </c>
      <c r="I55" s="1">
        <f t="shared" si="2"/>
        <v>2.5326</v>
      </c>
    </row>
    <row r="56" ht="15.75" customHeight="1">
      <c r="A56" s="1">
        <v>17.0</v>
      </c>
      <c r="B56" s="1">
        <v>4.0</v>
      </c>
      <c r="C56" s="1">
        <v>208.0</v>
      </c>
      <c r="D56" s="1">
        <v>11.0</v>
      </c>
      <c r="E56" s="1">
        <v>15.0</v>
      </c>
      <c r="F56" s="1">
        <v>5.0</v>
      </c>
      <c r="G56" s="1">
        <v>10.0</v>
      </c>
      <c r="H56" s="1">
        <f t="shared" si="1"/>
        <v>3.1996</v>
      </c>
      <c r="I56" s="1">
        <f t="shared" si="2"/>
        <v>1.8004</v>
      </c>
    </row>
    <row r="57" ht="15.75" customHeight="1">
      <c r="A57" s="1">
        <v>17.0</v>
      </c>
      <c r="B57" s="1">
        <v>9.0</v>
      </c>
      <c r="C57" s="1">
        <v>213.0</v>
      </c>
      <c r="D57" s="1">
        <v>12.0</v>
      </c>
      <c r="E57" s="1">
        <v>18.0</v>
      </c>
      <c r="F57" s="1">
        <v>5.0</v>
      </c>
      <c r="G57" s="1">
        <v>1.0</v>
      </c>
      <c r="H57" s="1">
        <f t="shared" si="1"/>
        <v>3.5134</v>
      </c>
      <c r="I57" s="1">
        <f t="shared" si="2"/>
        <v>1.4866</v>
      </c>
    </row>
    <row r="58" ht="15.75" customHeight="1">
      <c r="A58" s="1">
        <v>17.0</v>
      </c>
      <c r="B58" s="1">
        <v>4.0</v>
      </c>
      <c r="C58" s="1">
        <v>208.0</v>
      </c>
      <c r="D58" s="1">
        <v>12.0</v>
      </c>
      <c r="E58" s="1">
        <v>16.0</v>
      </c>
      <c r="F58" s="1">
        <v>5.0</v>
      </c>
      <c r="G58" s="1">
        <v>10.0</v>
      </c>
      <c r="H58" s="1">
        <f t="shared" si="1"/>
        <v>3.3042</v>
      </c>
      <c r="I58" s="1">
        <f t="shared" si="2"/>
        <v>1.6958</v>
      </c>
      <c r="K58" s="2" t="s">
        <v>24</v>
      </c>
    </row>
    <row r="59" ht="15.75" customHeight="1">
      <c r="A59" s="1">
        <v>17.0</v>
      </c>
      <c r="B59" s="1">
        <v>8.0</v>
      </c>
      <c r="C59" s="1">
        <v>212.0</v>
      </c>
      <c r="D59" s="1">
        <v>12.0</v>
      </c>
      <c r="E59" s="1">
        <v>18.0</v>
      </c>
      <c r="F59" s="1">
        <v>5.0</v>
      </c>
      <c r="G59" s="1">
        <v>5.0</v>
      </c>
      <c r="H59" s="1">
        <f t="shared" si="1"/>
        <v>3.5134</v>
      </c>
      <c r="I59" s="1">
        <f t="shared" si="2"/>
        <v>1.4866</v>
      </c>
    </row>
    <row r="60" ht="15.75" customHeight="1">
      <c r="A60" s="1">
        <v>18.0</v>
      </c>
      <c r="B60" s="1">
        <v>5.0</v>
      </c>
      <c r="C60" s="1">
        <v>221.0</v>
      </c>
      <c r="D60" s="1">
        <v>12.0</v>
      </c>
      <c r="E60" s="1">
        <v>29.0</v>
      </c>
      <c r="F60" s="1">
        <v>3.0</v>
      </c>
      <c r="G60" s="1">
        <v>10.0</v>
      </c>
      <c r="H60" s="1">
        <f t="shared" si="1"/>
        <v>4.664</v>
      </c>
      <c r="I60" s="1">
        <f t="shared" si="2"/>
        <v>-1.664</v>
      </c>
    </row>
    <row r="61" ht="15.75" customHeight="1">
      <c r="A61" s="1">
        <v>18.0</v>
      </c>
      <c r="B61" s="1">
        <v>2.0</v>
      </c>
      <c r="C61" s="1">
        <v>218.0</v>
      </c>
      <c r="D61" s="1">
        <v>12.0</v>
      </c>
      <c r="E61" s="1">
        <v>23.0</v>
      </c>
      <c r="F61" s="1">
        <v>5.0</v>
      </c>
      <c r="G61" s="1">
        <v>10.0</v>
      </c>
      <c r="H61" s="1">
        <f t="shared" si="1"/>
        <v>4.0364</v>
      </c>
      <c r="I61" s="1">
        <f t="shared" si="2"/>
        <v>0.9636</v>
      </c>
    </row>
    <row r="62" ht="15.75" customHeight="1">
      <c r="A62" s="1">
        <v>17.0</v>
      </c>
      <c r="B62" s="1">
        <v>11.0</v>
      </c>
      <c r="C62" s="1">
        <v>215.0</v>
      </c>
      <c r="D62" s="1">
        <v>12.0</v>
      </c>
      <c r="E62" s="1">
        <v>1.0</v>
      </c>
      <c r="F62" s="1">
        <v>5.0</v>
      </c>
      <c r="G62" s="1">
        <v>10.0</v>
      </c>
      <c r="H62" s="1">
        <f t="shared" si="1"/>
        <v>1.7352</v>
      </c>
      <c r="I62" s="1">
        <f t="shared" si="2"/>
        <v>3.2648</v>
      </c>
    </row>
    <row r="63" ht="15.75" customHeight="1">
      <c r="A63" s="1">
        <v>16.0</v>
      </c>
      <c r="B63" s="1">
        <v>9.0</v>
      </c>
      <c r="C63" s="1">
        <v>201.0</v>
      </c>
      <c r="D63" s="1">
        <v>11.0</v>
      </c>
      <c r="E63" s="1">
        <v>7.0</v>
      </c>
      <c r="F63" s="1">
        <v>0.0</v>
      </c>
      <c r="G63" s="1">
        <v>7.0</v>
      </c>
      <c r="H63" s="1">
        <f t="shared" si="1"/>
        <v>2.3628</v>
      </c>
      <c r="I63" s="1">
        <f t="shared" si="2"/>
        <v>-2.3628</v>
      </c>
    </row>
    <row r="64" ht="15.75" customHeight="1">
      <c r="A64" s="1">
        <v>17.0</v>
      </c>
      <c r="B64" s="1">
        <v>4.0</v>
      </c>
      <c r="C64" s="1">
        <v>208.0</v>
      </c>
      <c r="D64" s="1">
        <v>12.0</v>
      </c>
      <c r="E64" s="1">
        <v>16.0</v>
      </c>
      <c r="F64" s="1">
        <v>5.0</v>
      </c>
      <c r="G64" s="1">
        <v>10.0</v>
      </c>
      <c r="H64" s="1">
        <f t="shared" si="1"/>
        <v>3.3042</v>
      </c>
      <c r="I64" s="1">
        <f t="shared" si="2"/>
        <v>1.6958</v>
      </c>
    </row>
    <row r="65" ht="15.75" customHeight="1">
      <c r="A65" s="1">
        <v>17.0</v>
      </c>
      <c r="B65" s="1">
        <v>6.0</v>
      </c>
      <c r="C65" s="1">
        <v>210.0</v>
      </c>
      <c r="D65" s="1">
        <v>12.0</v>
      </c>
      <c r="E65" s="1">
        <v>18.0</v>
      </c>
      <c r="F65" s="1">
        <v>5.0</v>
      </c>
      <c r="G65" s="1">
        <v>8.0</v>
      </c>
      <c r="H65" s="1">
        <f t="shared" si="1"/>
        <v>3.5134</v>
      </c>
      <c r="I65" s="1">
        <f t="shared" si="2"/>
        <v>1.4866</v>
      </c>
    </row>
    <row r="66" ht="15.75" customHeight="1">
      <c r="A66" s="1">
        <v>18.0</v>
      </c>
      <c r="B66" s="1">
        <v>1.0</v>
      </c>
      <c r="C66" s="1">
        <v>217.0</v>
      </c>
      <c r="D66" s="1">
        <v>12.0</v>
      </c>
      <c r="E66" s="1">
        <v>25.0</v>
      </c>
      <c r="F66" s="1">
        <v>5.0</v>
      </c>
      <c r="G66" s="1">
        <v>9.0</v>
      </c>
      <c r="H66" s="1">
        <f t="shared" si="1"/>
        <v>4.2456</v>
      </c>
      <c r="I66" s="1">
        <f t="shared" si="2"/>
        <v>0.7544</v>
      </c>
    </row>
    <row r="67" ht="15.75" customHeight="1">
      <c r="A67" s="1">
        <v>17.0</v>
      </c>
      <c r="B67" s="1">
        <v>6.0</v>
      </c>
      <c r="C67" s="1">
        <v>210.0</v>
      </c>
      <c r="D67" s="1">
        <v>12.0</v>
      </c>
      <c r="E67" s="1">
        <v>17.0</v>
      </c>
      <c r="F67" s="1">
        <v>5.0</v>
      </c>
      <c r="G67" s="1">
        <v>4.0</v>
      </c>
      <c r="H67" s="1">
        <f t="shared" si="1"/>
        <v>3.4088</v>
      </c>
      <c r="I67" s="1">
        <f t="shared" si="2"/>
        <v>1.5912</v>
      </c>
    </row>
    <row r="68" ht="15.75" customHeight="1">
      <c r="A68" s="1">
        <v>18.0</v>
      </c>
      <c r="B68" s="1">
        <v>1.0</v>
      </c>
      <c r="C68" s="1">
        <v>217.0</v>
      </c>
      <c r="D68" s="1">
        <v>12.0</v>
      </c>
      <c r="E68" s="1">
        <v>11.0</v>
      </c>
      <c r="F68" s="1">
        <v>5.0</v>
      </c>
      <c r="G68" s="1">
        <v>10.0</v>
      </c>
      <c r="H68" s="1">
        <f t="shared" si="1"/>
        <v>2.7812</v>
      </c>
      <c r="I68" s="1">
        <f t="shared" si="2"/>
        <v>2.2188</v>
      </c>
    </row>
    <row r="69" ht="15.75" customHeight="1">
      <c r="A69" s="1">
        <v>17.0</v>
      </c>
      <c r="B69" s="1">
        <v>9.0</v>
      </c>
      <c r="C69" s="1">
        <v>213.0</v>
      </c>
      <c r="D69" s="1">
        <v>12.0</v>
      </c>
      <c r="E69" s="1">
        <v>18.0</v>
      </c>
      <c r="F69" s="1">
        <v>0.0</v>
      </c>
      <c r="G69" s="1">
        <v>5.0</v>
      </c>
      <c r="H69" s="1">
        <f t="shared" si="1"/>
        <v>3.5134</v>
      </c>
      <c r="I69" s="1">
        <f t="shared" si="2"/>
        <v>-3.5134</v>
      </c>
    </row>
    <row r="70" ht="15.75" customHeight="1">
      <c r="A70" s="1">
        <v>17.0</v>
      </c>
      <c r="B70" s="1">
        <v>9.0</v>
      </c>
      <c r="C70" s="1">
        <v>213.0</v>
      </c>
      <c r="D70" s="1">
        <v>12.0</v>
      </c>
      <c r="E70" s="1">
        <v>21.0</v>
      </c>
      <c r="F70" s="1">
        <v>5.0</v>
      </c>
      <c r="G70" s="1">
        <v>10.0</v>
      </c>
      <c r="H70" s="1">
        <f t="shared" si="1"/>
        <v>3.8272</v>
      </c>
      <c r="I70" s="1">
        <f t="shared" si="2"/>
        <v>1.1728</v>
      </c>
    </row>
    <row r="71" ht="15.75" customHeight="1">
      <c r="A71" s="1">
        <v>18.0</v>
      </c>
      <c r="B71" s="1">
        <v>3.0</v>
      </c>
      <c r="C71" s="1">
        <v>219.0</v>
      </c>
      <c r="D71" s="1">
        <v>12.0</v>
      </c>
      <c r="E71" s="1">
        <v>27.0</v>
      </c>
      <c r="F71" s="1">
        <v>1.0</v>
      </c>
      <c r="G71" s="1">
        <v>2.0</v>
      </c>
      <c r="H71" s="1">
        <f t="shared" si="1"/>
        <v>4.4548</v>
      </c>
      <c r="I71" s="1">
        <f t="shared" si="2"/>
        <v>-3.4548</v>
      </c>
    </row>
    <row r="72" ht="15.75" customHeight="1">
      <c r="A72" s="1">
        <v>18.0</v>
      </c>
      <c r="B72" s="1">
        <v>5.0</v>
      </c>
      <c r="C72" s="1">
        <v>221.0</v>
      </c>
      <c r="D72" s="1">
        <v>12.0</v>
      </c>
      <c r="E72" s="1">
        <v>0.0</v>
      </c>
      <c r="F72" s="1">
        <v>0.0</v>
      </c>
      <c r="G72" s="1">
        <v>5.0</v>
      </c>
      <c r="H72" s="1">
        <f t="shared" si="1"/>
        <v>1.6306</v>
      </c>
      <c r="I72" s="1">
        <f t="shared" si="2"/>
        <v>-1.6306</v>
      </c>
    </row>
    <row r="73" ht="15.75" customHeight="1">
      <c r="A73" s="1">
        <v>18.0</v>
      </c>
      <c r="B73" s="1">
        <v>2.0</v>
      </c>
      <c r="C73" s="1">
        <v>218.0</v>
      </c>
      <c r="D73" s="1">
        <v>12.0</v>
      </c>
      <c r="E73" s="1">
        <v>24.0</v>
      </c>
      <c r="F73" s="1">
        <v>3.0</v>
      </c>
      <c r="G73" s="1">
        <v>10.0</v>
      </c>
      <c r="H73" s="1">
        <f t="shared" si="1"/>
        <v>4.141</v>
      </c>
      <c r="I73" s="1">
        <f t="shared" si="2"/>
        <v>-1.141</v>
      </c>
    </row>
    <row r="74" ht="15.75" customHeight="1">
      <c r="A74" s="1">
        <v>18.0</v>
      </c>
      <c r="B74" s="1">
        <v>3.0</v>
      </c>
      <c r="C74" s="1">
        <v>219.0</v>
      </c>
      <c r="D74" s="1">
        <v>12.0</v>
      </c>
      <c r="E74" s="1">
        <v>0.0</v>
      </c>
      <c r="F74" s="1">
        <v>0.0</v>
      </c>
      <c r="G74" s="1">
        <v>10.0</v>
      </c>
      <c r="H74" s="1">
        <f t="shared" si="1"/>
        <v>1.6306</v>
      </c>
      <c r="I74" s="1">
        <f t="shared" si="2"/>
        <v>-1.6306</v>
      </c>
    </row>
    <row r="75" ht="15.75" customHeight="1">
      <c r="A75" s="1">
        <v>17.0</v>
      </c>
      <c r="B75" s="1">
        <v>7.0</v>
      </c>
      <c r="C75" s="1">
        <v>211.0</v>
      </c>
      <c r="D75" s="1">
        <v>12.0</v>
      </c>
      <c r="E75" s="1">
        <v>19.0</v>
      </c>
      <c r="F75" s="1">
        <v>5.0</v>
      </c>
      <c r="G75" s="1">
        <v>4.0</v>
      </c>
      <c r="H75" s="1">
        <f t="shared" si="1"/>
        <v>3.618</v>
      </c>
      <c r="I75" s="1">
        <f t="shared" si="2"/>
        <v>1.382</v>
      </c>
    </row>
    <row r="76" ht="15.75" customHeight="1">
      <c r="A76" s="1">
        <v>17.0</v>
      </c>
      <c r="B76" s="1">
        <v>4.0</v>
      </c>
      <c r="C76" s="1">
        <v>208.0</v>
      </c>
      <c r="D76" s="1">
        <v>12.0</v>
      </c>
      <c r="E76" s="1">
        <v>12.0</v>
      </c>
      <c r="F76" s="1">
        <v>5.0</v>
      </c>
      <c r="G76" s="1">
        <v>10.0</v>
      </c>
      <c r="H76" s="1">
        <f t="shared" si="1"/>
        <v>2.8858</v>
      </c>
      <c r="I76" s="1">
        <f t="shared" si="2"/>
        <v>2.1142</v>
      </c>
    </row>
    <row r="77" ht="15.75" customHeight="1">
      <c r="A77" s="1">
        <v>18.0</v>
      </c>
      <c r="B77" s="1">
        <v>2.0</v>
      </c>
      <c r="C77" s="1">
        <v>218.0</v>
      </c>
      <c r="D77" s="1">
        <v>12.0</v>
      </c>
      <c r="E77" s="1">
        <v>26.0</v>
      </c>
      <c r="F77" s="1">
        <v>5.0</v>
      </c>
      <c r="G77" s="1">
        <v>10.0</v>
      </c>
      <c r="H77" s="1">
        <f t="shared" si="1"/>
        <v>4.3502</v>
      </c>
      <c r="I77" s="1">
        <f t="shared" si="2"/>
        <v>0.6498</v>
      </c>
    </row>
    <row r="78" ht="15.75" customHeight="1">
      <c r="A78" s="1">
        <v>17.0</v>
      </c>
      <c r="B78" s="1">
        <v>8.0</v>
      </c>
      <c r="C78" s="1">
        <v>212.0</v>
      </c>
      <c r="D78" s="1">
        <v>12.0</v>
      </c>
      <c r="E78" s="1">
        <v>13.0</v>
      </c>
      <c r="F78" s="1">
        <v>0.0</v>
      </c>
      <c r="G78" s="1">
        <v>9.0</v>
      </c>
      <c r="H78" s="1">
        <f t="shared" si="1"/>
        <v>2.9904</v>
      </c>
      <c r="I78" s="1">
        <f t="shared" si="2"/>
        <v>-2.9904</v>
      </c>
    </row>
    <row r="79" ht="15.75" customHeight="1">
      <c r="A79" s="1">
        <v>17.0</v>
      </c>
      <c r="B79" s="1">
        <v>12.0</v>
      </c>
      <c r="C79" s="1">
        <v>216.0</v>
      </c>
      <c r="D79" s="1">
        <v>12.0</v>
      </c>
      <c r="E79" s="1">
        <v>0.0</v>
      </c>
      <c r="F79" s="1">
        <v>2.0</v>
      </c>
      <c r="G79" s="1">
        <v>1.0</v>
      </c>
      <c r="H79" s="1">
        <f t="shared" si="1"/>
        <v>1.6306</v>
      </c>
      <c r="I79" s="1">
        <f t="shared" si="2"/>
        <v>0.3694</v>
      </c>
    </row>
    <row r="80" ht="15.75" customHeight="1">
      <c r="A80" s="1">
        <v>17.0</v>
      </c>
      <c r="B80" s="1">
        <v>10.0</v>
      </c>
      <c r="C80" s="1">
        <v>214.0</v>
      </c>
      <c r="D80" s="1">
        <v>12.0</v>
      </c>
      <c r="E80" s="1">
        <v>3.0</v>
      </c>
      <c r="F80" s="1">
        <v>0.0</v>
      </c>
      <c r="G80" s="1">
        <v>10.0</v>
      </c>
      <c r="H80" s="1">
        <f t="shared" si="1"/>
        <v>1.9444</v>
      </c>
      <c r="I80" s="1">
        <f t="shared" si="2"/>
        <v>-1.9444</v>
      </c>
    </row>
    <row r="81" ht="15.75" customHeight="1">
      <c r="A81" s="1">
        <v>17.0</v>
      </c>
      <c r="B81" s="1">
        <v>10.0</v>
      </c>
      <c r="C81" s="1">
        <v>214.0</v>
      </c>
      <c r="D81" s="1">
        <v>12.0</v>
      </c>
      <c r="E81" s="1">
        <v>0.0</v>
      </c>
      <c r="F81" s="1">
        <v>3.0</v>
      </c>
      <c r="G81" s="1">
        <v>9.0</v>
      </c>
      <c r="H81" s="1">
        <f t="shared" si="1"/>
        <v>1.6306</v>
      </c>
      <c r="I81" s="1">
        <f t="shared" si="2"/>
        <v>1.3694</v>
      </c>
    </row>
    <row r="82" ht="15.75" customHeight="1">
      <c r="A82" s="1">
        <v>18.0</v>
      </c>
      <c r="B82" s="1">
        <v>3.0</v>
      </c>
      <c r="C82" s="1">
        <v>219.0</v>
      </c>
      <c r="D82" s="1">
        <v>12.0</v>
      </c>
      <c r="E82" s="1">
        <v>12.0</v>
      </c>
      <c r="F82" s="1">
        <v>0.0</v>
      </c>
      <c r="G82" s="1">
        <v>9.0</v>
      </c>
      <c r="H82" s="1">
        <f t="shared" si="1"/>
        <v>2.8858</v>
      </c>
      <c r="I82" s="1">
        <f t="shared" si="2"/>
        <v>-2.8858</v>
      </c>
    </row>
    <row r="83" ht="15.75" customHeight="1">
      <c r="A83" s="1">
        <v>15.0</v>
      </c>
      <c r="B83" s="1">
        <v>4.0</v>
      </c>
      <c r="C83" s="1">
        <v>184.0</v>
      </c>
      <c r="D83" s="1">
        <v>10.0</v>
      </c>
      <c r="E83" s="1">
        <v>0.0</v>
      </c>
      <c r="F83" s="1">
        <v>0.0</v>
      </c>
      <c r="G83" s="1">
        <v>10.0</v>
      </c>
      <c r="H83" s="1">
        <f t="shared" si="1"/>
        <v>1.6306</v>
      </c>
      <c r="I83" s="1">
        <f t="shared" si="2"/>
        <v>-1.6306</v>
      </c>
    </row>
    <row r="84" ht="15.75" customHeight="1">
      <c r="A84" s="1">
        <v>16.0</v>
      </c>
      <c r="B84" s="1">
        <v>4.0</v>
      </c>
      <c r="C84" s="1">
        <v>196.0</v>
      </c>
      <c r="D84" s="1">
        <v>10.0</v>
      </c>
      <c r="E84" s="1">
        <v>4.0</v>
      </c>
      <c r="F84" s="1">
        <v>0.0</v>
      </c>
      <c r="G84" s="1">
        <v>5.0</v>
      </c>
      <c r="H84" s="1">
        <f t="shared" si="1"/>
        <v>2.049</v>
      </c>
      <c r="I84" s="1">
        <f t="shared" si="2"/>
        <v>-2.049</v>
      </c>
    </row>
    <row r="85" ht="15.75" customHeight="1">
      <c r="A85" s="1">
        <v>16.0</v>
      </c>
      <c r="B85" s="1">
        <v>2.0</v>
      </c>
      <c r="C85" s="1">
        <v>194.0</v>
      </c>
      <c r="D85" s="1">
        <v>10.0</v>
      </c>
      <c r="E85" s="1">
        <v>0.0</v>
      </c>
      <c r="F85" s="1">
        <v>1.0</v>
      </c>
      <c r="G85" s="1">
        <v>10.0</v>
      </c>
      <c r="H85" s="1">
        <f t="shared" si="1"/>
        <v>1.6306</v>
      </c>
      <c r="I85" s="1">
        <f t="shared" si="2"/>
        <v>-0.6306</v>
      </c>
    </row>
    <row r="86" ht="15.75" customHeight="1">
      <c r="A86" s="1">
        <v>15.0</v>
      </c>
      <c r="B86" s="1">
        <v>11.0</v>
      </c>
      <c r="C86" s="1">
        <v>191.0</v>
      </c>
      <c r="D86" s="1">
        <v>10.0</v>
      </c>
      <c r="E86" s="1">
        <v>0.0</v>
      </c>
      <c r="F86" s="1">
        <v>5.0</v>
      </c>
      <c r="G86" s="1">
        <v>10.0</v>
      </c>
      <c r="H86" s="1">
        <f t="shared" si="1"/>
        <v>1.6306</v>
      </c>
      <c r="I86" s="1">
        <f t="shared" si="2"/>
        <v>3.3694</v>
      </c>
    </row>
    <row r="87" ht="15.75" customHeight="1">
      <c r="A87" s="1">
        <v>15.0</v>
      </c>
      <c r="B87" s="1">
        <v>4.0</v>
      </c>
      <c r="C87" s="1">
        <v>184.0</v>
      </c>
      <c r="D87" s="1">
        <v>10.0</v>
      </c>
      <c r="E87" s="1">
        <v>0.0</v>
      </c>
      <c r="F87" s="1">
        <v>0.0</v>
      </c>
      <c r="G87" s="1">
        <v>10.0</v>
      </c>
      <c r="H87" s="1">
        <f t="shared" si="1"/>
        <v>1.6306</v>
      </c>
      <c r="I87" s="1">
        <f t="shared" si="2"/>
        <v>-1.6306</v>
      </c>
    </row>
    <row r="88" ht="15.75" customHeight="1">
      <c r="A88" s="1">
        <v>15.0</v>
      </c>
      <c r="B88" s="1">
        <v>8.0</v>
      </c>
      <c r="C88" s="1">
        <v>188.0</v>
      </c>
      <c r="D88" s="1">
        <v>10.0</v>
      </c>
      <c r="E88" s="1">
        <v>0.0</v>
      </c>
      <c r="F88" s="1">
        <v>1.0</v>
      </c>
      <c r="G88" s="1">
        <v>7.0</v>
      </c>
      <c r="H88" s="1">
        <f t="shared" si="1"/>
        <v>1.6306</v>
      </c>
      <c r="I88" s="1">
        <f t="shared" si="2"/>
        <v>-0.6306</v>
      </c>
    </row>
    <row r="89" ht="15.75" customHeight="1">
      <c r="A89" s="1">
        <v>16.0</v>
      </c>
      <c r="B89" s="1">
        <v>3.0</v>
      </c>
      <c r="C89" s="1">
        <v>195.0</v>
      </c>
      <c r="D89" s="1">
        <v>10.0</v>
      </c>
      <c r="E89" s="1">
        <v>0.0</v>
      </c>
      <c r="F89" s="1">
        <v>0.0</v>
      </c>
      <c r="G89" s="1">
        <v>7.0</v>
      </c>
      <c r="H89" s="1">
        <f t="shared" si="1"/>
        <v>1.6306</v>
      </c>
      <c r="I89" s="1">
        <f t="shared" si="2"/>
        <v>-1.6306</v>
      </c>
    </row>
    <row r="90" ht="15.75" customHeight="1">
      <c r="A90" s="1">
        <v>15.0</v>
      </c>
      <c r="B90" s="1">
        <v>7.0</v>
      </c>
      <c r="C90" s="1">
        <v>187.0</v>
      </c>
      <c r="D90" s="1">
        <v>10.0</v>
      </c>
      <c r="E90" s="1">
        <v>0.0</v>
      </c>
      <c r="F90" s="1">
        <v>4.0</v>
      </c>
      <c r="G90" s="1">
        <v>10.0</v>
      </c>
      <c r="H90" s="1">
        <f t="shared" si="1"/>
        <v>1.6306</v>
      </c>
      <c r="I90" s="1">
        <f t="shared" si="2"/>
        <v>2.3694</v>
      </c>
    </row>
    <row r="91" ht="15.75" customHeight="1">
      <c r="A91" s="1">
        <v>15.0</v>
      </c>
      <c r="B91" s="1">
        <v>8.0</v>
      </c>
      <c r="C91" s="1">
        <v>188.0</v>
      </c>
      <c r="D91" s="1">
        <v>10.0</v>
      </c>
      <c r="E91" s="1">
        <v>0.0</v>
      </c>
      <c r="F91" s="1">
        <v>0.0</v>
      </c>
      <c r="G91" s="1">
        <v>4.0</v>
      </c>
      <c r="H91" s="1">
        <f t="shared" si="1"/>
        <v>1.6306</v>
      </c>
      <c r="I91" s="1">
        <f t="shared" si="2"/>
        <v>-1.6306</v>
      </c>
    </row>
    <row r="92" ht="15.75" customHeight="1">
      <c r="A92" s="1">
        <v>16.0</v>
      </c>
      <c r="B92" s="1">
        <v>4.0</v>
      </c>
      <c r="C92" s="1">
        <v>196.0</v>
      </c>
      <c r="D92" s="1">
        <v>10.0</v>
      </c>
      <c r="E92" s="1">
        <v>4.0</v>
      </c>
      <c r="F92" s="1">
        <v>3.0</v>
      </c>
      <c r="G92" s="1">
        <v>9.0</v>
      </c>
      <c r="H92" s="1">
        <f t="shared" si="1"/>
        <v>2.049</v>
      </c>
      <c r="I92" s="1">
        <f t="shared" si="2"/>
        <v>0.951</v>
      </c>
    </row>
    <row r="93" ht="15.75" customHeight="1">
      <c r="A93" s="1">
        <v>15.0</v>
      </c>
      <c r="B93" s="1">
        <v>10.0</v>
      </c>
      <c r="C93" s="1">
        <v>190.0</v>
      </c>
      <c r="D93" s="1">
        <v>10.0</v>
      </c>
      <c r="E93" s="1">
        <v>0.0</v>
      </c>
      <c r="F93" s="1">
        <v>5.0</v>
      </c>
      <c r="G93" s="1">
        <v>10.0</v>
      </c>
      <c r="H93" s="1">
        <f t="shared" si="1"/>
        <v>1.6306</v>
      </c>
      <c r="I93" s="1">
        <f t="shared" si="2"/>
        <v>3.3694</v>
      </c>
    </row>
    <row r="94" ht="15.75" customHeight="1">
      <c r="A94" s="1">
        <v>15.0</v>
      </c>
      <c r="B94" s="1">
        <v>3.0</v>
      </c>
      <c r="C94" s="1">
        <v>183.0</v>
      </c>
      <c r="D94" s="1">
        <v>10.0</v>
      </c>
      <c r="E94" s="1">
        <v>0.0</v>
      </c>
      <c r="F94" s="1">
        <v>0.0</v>
      </c>
      <c r="G94" s="1">
        <v>9.0</v>
      </c>
      <c r="H94" s="1">
        <f t="shared" si="1"/>
        <v>1.6306</v>
      </c>
      <c r="I94" s="1">
        <f t="shared" si="2"/>
        <v>-1.6306</v>
      </c>
    </row>
    <row r="95" ht="15.75" customHeight="1">
      <c r="A95" s="1">
        <v>15.0</v>
      </c>
      <c r="B95" s="1">
        <v>6.0</v>
      </c>
      <c r="C95" s="1">
        <v>186.0</v>
      </c>
      <c r="D95" s="1">
        <v>10.0</v>
      </c>
      <c r="E95" s="1">
        <v>0.0</v>
      </c>
      <c r="F95" s="1">
        <v>4.0</v>
      </c>
      <c r="G95" s="1">
        <v>10.0</v>
      </c>
      <c r="H95" s="1">
        <f t="shared" si="1"/>
        <v>1.6306</v>
      </c>
      <c r="I95" s="1">
        <f t="shared" si="2"/>
        <v>2.3694</v>
      </c>
    </row>
    <row r="96" ht="15.75" customHeight="1">
      <c r="A96" s="1">
        <v>16.0</v>
      </c>
      <c r="B96" s="1">
        <v>1.0</v>
      </c>
      <c r="C96" s="1">
        <v>193.0</v>
      </c>
      <c r="D96" s="1">
        <v>10.0</v>
      </c>
      <c r="E96" s="1">
        <v>0.0</v>
      </c>
      <c r="F96" s="1">
        <v>2.0</v>
      </c>
      <c r="G96" s="1">
        <v>10.0</v>
      </c>
      <c r="H96" s="1">
        <f t="shared" si="1"/>
        <v>1.6306</v>
      </c>
      <c r="I96" s="1">
        <f t="shared" si="2"/>
        <v>0.3694</v>
      </c>
    </row>
    <row r="97" ht="15.75" customHeight="1">
      <c r="A97" s="1">
        <v>16.0</v>
      </c>
      <c r="B97" s="1">
        <v>1.0</v>
      </c>
      <c r="C97" s="1">
        <v>193.0</v>
      </c>
      <c r="D97" s="1">
        <v>10.0</v>
      </c>
      <c r="E97" s="1">
        <v>1.0</v>
      </c>
      <c r="F97" s="1">
        <v>0.0</v>
      </c>
      <c r="G97" s="1">
        <v>6.0</v>
      </c>
      <c r="H97" s="1">
        <f t="shared" si="1"/>
        <v>1.7352</v>
      </c>
      <c r="I97" s="1">
        <f t="shared" si="2"/>
        <v>-1.7352</v>
      </c>
    </row>
    <row r="98" ht="15.75" customHeight="1">
      <c r="A98" s="1">
        <v>15.0</v>
      </c>
      <c r="B98" s="1">
        <v>9.0</v>
      </c>
      <c r="C98" s="1">
        <v>189.0</v>
      </c>
      <c r="D98" s="1">
        <v>10.0</v>
      </c>
      <c r="E98" s="1">
        <v>0.0</v>
      </c>
      <c r="F98" s="1">
        <v>2.0</v>
      </c>
      <c r="G98" s="1">
        <v>10.0</v>
      </c>
      <c r="H98" s="1">
        <f t="shared" si="1"/>
        <v>1.6306</v>
      </c>
      <c r="I98" s="1">
        <f t="shared" si="2"/>
        <v>0.3694</v>
      </c>
    </row>
    <row r="99" ht="15.75" customHeight="1">
      <c r="A99" s="1">
        <v>15.0</v>
      </c>
      <c r="B99" s="1">
        <v>8.0</v>
      </c>
      <c r="C99" s="1">
        <v>188.0</v>
      </c>
      <c r="D99" s="1">
        <v>10.0</v>
      </c>
      <c r="E99" s="1">
        <v>0.0</v>
      </c>
      <c r="F99" s="1">
        <v>0.0</v>
      </c>
      <c r="G99" s="1">
        <v>6.0</v>
      </c>
      <c r="H99" s="1">
        <f t="shared" si="1"/>
        <v>1.6306</v>
      </c>
      <c r="I99" s="1">
        <f t="shared" si="2"/>
        <v>-1.6306</v>
      </c>
    </row>
    <row r="100" ht="15.75" customHeight="1">
      <c r="A100" s="1">
        <v>15.0</v>
      </c>
      <c r="B100" s="1">
        <v>9.0</v>
      </c>
      <c r="C100" s="1">
        <v>189.0</v>
      </c>
      <c r="D100" s="1">
        <v>10.0</v>
      </c>
      <c r="E100" s="1">
        <v>0.0</v>
      </c>
      <c r="F100" s="1">
        <v>3.0</v>
      </c>
      <c r="G100" s="1">
        <v>8.0</v>
      </c>
      <c r="H100" s="1">
        <f t="shared" si="1"/>
        <v>1.6306</v>
      </c>
      <c r="I100" s="1">
        <f t="shared" si="2"/>
        <v>1.3694</v>
      </c>
    </row>
    <row r="101" ht="15.75" customHeight="1">
      <c r="A101" s="1">
        <v>15.0</v>
      </c>
      <c r="B101" s="1">
        <v>1.0</v>
      </c>
      <c r="C101" s="1">
        <v>181.0</v>
      </c>
      <c r="D101" s="1">
        <v>10.0</v>
      </c>
      <c r="E101" s="1">
        <v>0.0</v>
      </c>
      <c r="F101" s="1">
        <v>2.0</v>
      </c>
      <c r="G101" s="1">
        <v>8.0</v>
      </c>
      <c r="H101" s="1">
        <f t="shared" si="1"/>
        <v>1.6306</v>
      </c>
      <c r="I101" s="1">
        <f t="shared" si="2"/>
        <v>0.3694</v>
      </c>
    </row>
    <row r="102" ht="15.75" customHeight="1">
      <c r="A102" s="1">
        <v>15.0</v>
      </c>
      <c r="B102" s="1">
        <v>10.0</v>
      </c>
      <c r="C102" s="1">
        <v>190.0</v>
      </c>
      <c r="D102" s="1">
        <v>10.0</v>
      </c>
      <c r="E102" s="1">
        <v>0.0</v>
      </c>
      <c r="F102" s="1">
        <v>4.0</v>
      </c>
      <c r="G102" s="1">
        <v>10.0</v>
      </c>
      <c r="H102" s="1">
        <f t="shared" si="1"/>
        <v>1.6306</v>
      </c>
      <c r="I102" s="1">
        <f t="shared" si="2"/>
        <v>2.3694</v>
      </c>
    </row>
    <row r="103" ht="15.75" customHeight="1">
      <c r="A103" s="1">
        <v>15.0</v>
      </c>
      <c r="B103" s="1">
        <v>6.0</v>
      </c>
      <c r="C103" s="1">
        <v>186.0</v>
      </c>
      <c r="D103" s="1">
        <v>10.0</v>
      </c>
      <c r="E103" s="1">
        <v>0.0</v>
      </c>
      <c r="F103" s="1">
        <v>1.0</v>
      </c>
      <c r="G103" s="1">
        <v>3.0</v>
      </c>
      <c r="H103" s="1">
        <f t="shared" si="1"/>
        <v>1.6306</v>
      </c>
      <c r="I103" s="1">
        <f t="shared" si="2"/>
        <v>-0.6306</v>
      </c>
    </row>
    <row r="104" ht="15.75" customHeight="1">
      <c r="A104" s="1">
        <v>16.0</v>
      </c>
      <c r="B104" s="1">
        <v>0.0</v>
      </c>
      <c r="C104" s="1">
        <v>192.0</v>
      </c>
      <c r="D104" s="1">
        <v>10.0</v>
      </c>
      <c r="E104" s="1">
        <v>0.0</v>
      </c>
      <c r="F104" s="1">
        <v>3.0</v>
      </c>
      <c r="G104" s="1">
        <v>10.0</v>
      </c>
      <c r="H104" s="1">
        <f t="shared" si="1"/>
        <v>1.6306</v>
      </c>
      <c r="I104" s="1">
        <f t="shared" si="2"/>
        <v>1.3694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0"/>
  </cols>
  <sheetData>
    <row r="1">
      <c r="A1" s="4" t="s">
        <v>4</v>
      </c>
      <c r="B1" s="4" t="s">
        <v>5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>
      <c r="A2" s="5">
        <v>0.0</v>
      </c>
      <c r="B2" s="5">
        <v>0.0</v>
      </c>
      <c r="D2" s="5">
        <v>0.0</v>
      </c>
      <c r="E2" s="5">
        <v>0.0</v>
      </c>
      <c r="F2" s="5">
        <v>0.0</v>
      </c>
      <c r="G2" s="5">
        <v>2.0</v>
      </c>
      <c r="H2" s="5">
        <v>0.0</v>
      </c>
      <c r="I2" s="5">
        <v>4.0</v>
      </c>
      <c r="L2" s="1">
        <f>MIN(D2:D43)</f>
        <v>0</v>
      </c>
      <c r="M2" s="1">
        <f>QUARTILE(D2:D43,1)</f>
        <v>0</v>
      </c>
      <c r="N2" s="1">
        <f>MEDIAN(D2:D43)</f>
        <v>0</v>
      </c>
      <c r="O2" s="1" t="str">
        <f>N6</f>
        <v/>
      </c>
    </row>
    <row r="3">
      <c r="A3" s="5">
        <v>0.0</v>
      </c>
      <c r="B3" s="5">
        <v>0.0</v>
      </c>
      <c r="D3" s="5">
        <v>0.0</v>
      </c>
      <c r="E3" s="5">
        <v>0.0</v>
      </c>
      <c r="F3" s="5">
        <v>0.0</v>
      </c>
      <c r="G3" s="5">
        <v>2.0</v>
      </c>
      <c r="H3" s="5">
        <v>14.0</v>
      </c>
      <c r="I3" s="5">
        <v>4.0</v>
      </c>
    </row>
    <row r="4">
      <c r="A4" s="5">
        <v>0.0</v>
      </c>
      <c r="B4" s="5">
        <v>0.0</v>
      </c>
      <c r="D4" s="5">
        <v>0.0</v>
      </c>
      <c r="E4" s="5">
        <v>0.0</v>
      </c>
      <c r="F4" s="5">
        <v>0.0</v>
      </c>
      <c r="G4" s="5">
        <v>2.0</v>
      </c>
      <c r="H4" s="5">
        <v>0.0</v>
      </c>
      <c r="I4" s="5">
        <v>4.0</v>
      </c>
    </row>
    <row r="5">
      <c r="A5" s="5">
        <v>7.0</v>
      </c>
      <c r="B5" s="5">
        <v>0.0</v>
      </c>
      <c r="D5" s="5">
        <v>7.0</v>
      </c>
      <c r="E5" s="5">
        <v>0.0</v>
      </c>
      <c r="F5" s="5">
        <v>6.0</v>
      </c>
      <c r="G5" s="5">
        <v>2.0</v>
      </c>
      <c r="H5" s="5">
        <v>0.0</v>
      </c>
      <c r="I5" s="5">
        <v>4.0</v>
      </c>
    </row>
    <row r="6">
      <c r="A6" s="5">
        <v>0.0</v>
      </c>
      <c r="B6" s="5">
        <v>0.0</v>
      </c>
      <c r="D6" s="5">
        <v>0.0</v>
      </c>
      <c r="E6" s="5">
        <v>0.0</v>
      </c>
      <c r="F6" s="5">
        <v>0.0</v>
      </c>
      <c r="G6" s="5">
        <v>2.0</v>
      </c>
      <c r="H6" s="5">
        <v>0.0</v>
      </c>
      <c r="I6" s="5">
        <v>4.0</v>
      </c>
    </row>
    <row r="7">
      <c r="A7" s="5">
        <v>0.0</v>
      </c>
      <c r="B7" s="5">
        <v>0.0</v>
      </c>
      <c r="D7" s="5">
        <v>0.0</v>
      </c>
      <c r="E7" s="5">
        <v>0.0</v>
      </c>
      <c r="F7" s="5">
        <v>0.0</v>
      </c>
      <c r="G7" s="5">
        <v>2.0</v>
      </c>
      <c r="H7" s="5">
        <v>14.0</v>
      </c>
      <c r="I7" s="5">
        <v>5.0</v>
      </c>
    </row>
    <row r="8">
      <c r="A8" s="5">
        <v>0.0</v>
      </c>
      <c r="B8" s="5">
        <v>0.0</v>
      </c>
      <c r="D8" s="5">
        <v>0.0</v>
      </c>
      <c r="E8" s="5">
        <v>0.0</v>
      </c>
      <c r="F8" s="5">
        <v>0.0</v>
      </c>
      <c r="G8" s="5">
        <v>2.0</v>
      </c>
      <c r="H8" s="5">
        <v>15.0</v>
      </c>
      <c r="I8" s="5">
        <v>5.0</v>
      </c>
    </row>
    <row r="9">
      <c r="A9" s="5">
        <v>27.0</v>
      </c>
      <c r="B9" s="5">
        <v>0.0</v>
      </c>
      <c r="D9" s="5">
        <v>27.0</v>
      </c>
      <c r="E9" s="5">
        <v>0.0</v>
      </c>
      <c r="F9" s="5">
        <v>0.0</v>
      </c>
      <c r="G9" s="5">
        <v>2.0</v>
      </c>
      <c r="H9" s="5">
        <v>6.0</v>
      </c>
      <c r="I9" s="5">
        <v>5.0</v>
      </c>
    </row>
    <row r="10">
      <c r="A10" s="5">
        <v>15.0</v>
      </c>
      <c r="B10" s="5">
        <v>0.0</v>
      </c>
      <c r="D10" s="5">
        <v>15.0</v>
      </c>
      <c r="E10" s="5">
        <v>0.0</v>
      </c>
      <c r="F10" s="5">
        <v>0.0</v>
      </c>
      <c r="G10" s="5">
        <v>2.0</v>
      </c>
      <c r="H10" s="5">
        <v>21.0</v>
      </c>
      <c r="I10" s="5">
        <v>5.0</v>
      </c>
    </row>
    <row r="11">
      <c r="A11" s="5">
        <v>0.0</v>
      </c>
      <c r="B11" s="5">
        <v>0.0</v>
      </c>
      <c r="D11" s="5">
        <v>0.0</v>
      </c>
      <c r="E11" s="5">
        <v>0.0</v>
      </c>
      <c r="F11" s="5">
        <v>0.0</v>
      </c>
      <c r="G11" s="5">
        <v>3.0</v>
      </c>
      <c r="H11" s="5">
        <v>18.0</v>
      </c>
      <c r="I11" s="5">
        <v>5.0</v>
      </c>
    </row>
    <row r="12">
      <c r="A12" s="5">
        <v>0.0</v>
      </c>
      <c r="B12" s="5">
        <v>0.0</v>
      </c>
      <c r="D12" s="5">
        <v>0.0</v>
      </c>
      <c r="E12" s="5">
        <v>0.0</v>
      </c>
      <c r="F12" s="5">
        <v>0.0</v>
      </c>
      <c r="G12" s="5">
        <v>3.0</v>
      </c>
      <c r="H12" s="5">
        <v>22.0</v>
      </c>
      <c r="I12" s="5">
        <v>5.0</v>
      </c>
    </row>
    <row r="13">
      <c r="A13" s="5">
        <v>0.0</v>
      </c>
      <c r="B13" s="5">
        <v>0.0</v>
      </c>
      <c r="D13" s="5">
        <v>0.0</v>
      </c>
      <c r="E13" s="5">
        <v>0.0</v>
      </c>
      <c r="F13" s="5">
        <v>11.0</v>
      </c>
      <c r="G13" s="5">
        <v>3.0</v>
      </c>
      <c r="H13" s="5">
        <v>27.0</v>
      </c>
      <c r="I13" s="5">
        <v>5.0</v>
      </c>
    </row>
    <row r="14">
      <c r="A14" s="5">
        <v>7.0</v>
      </c>
      <c r="B14" s="5">
        <v>0.0</v>
      </c>
      <c r="D14" s="5">
        <v>7.0</v>
      </c>
      <c r="E14" s="5">
        <v>0.0</v>
      </c>
      <c r="F14" s="5">
        <v>8.0</v>
      </c>
      <c r="G14" s="5">
        <v>3.0</v>
      </c>
      <c r="H14" s="5">
        <v>18.0</v>
      </c>
      <c r="I14" s="5">
        <v>5.0</v>
      </c>
    </row>
    <row r="15">
      <c r="A15" s="5">
        <v>18.0</v>
      </c>
      <c r="B15" s="5">
        <v>0.0</v>
      </c>
      <c r="D15" s="5">
        <v>18.0</v>
      </c>
      <c r="E15" s="5">
        <v>0.0</v>
      </c>
      <c r="F15" s="5">
        <v>0.0</v>
      </c>
      <c r="G15" s="5">
        <v>3.0</v>
      </c>
      <c r="H15" s="5">
        <v>24.0</v>
      </c>
      <c r="I15" s="5">
        <v>5.0</v>
      </c>
    </row>
    <row r="16">
      <c r="A16" s="5">
        <v>0.0</v>
      </c>
      <c r="B16" s="5">
        <v>0.0</v>
      </c>
      <c r="D16" s="5">
        <v>0.0</v>
      </c>
      <c r="E16" s="5">
        <v>0.0</v>
      </c>
      <c r="F16" s="5">
        <v>0.0</v>
      </c>
      <c r="G16" s="5">
        <v>3.0</v>
      </c>
      <c r="H16" s="5">
        <v>21.0</v>
      </c>
      <c r="I16" s="5">
        <v>5.0</v>
      </c>
    </row>
    <row r="17">
      <c r="A17" s="5">
        <v>0.0</v>
      </c>
      <c r="B17" s="5">
        <v>0.0</v>
      </c>
      <c r="D17" s="5">
        <v>0.0</v>
      </c>
      <c r="E17" s="5">
        <v>0.0</v>
      </c>
      <c r="F17" s="5">
        <v>12.0</v>
      </c>
      <c r="G17" s="5">
        <v>3.0</v>
      </c>
      <c r="H17" s="5">
        <v>20.0</v>
      </c>
      <c r="I17" s="5">
        <v>5.0</v>
      </c>
    </row>
    <row r="18">
      <c r="A18" s="5">
        <v>13.0</v>
      </c>
      <c r="B18" s="5">
        <v>0.0</v>
      </c>
      <c r="D18" s="5">
        <v>13.0</v>
      </c>
      <c r="E18" s="5">
        <v>0.0</v>
      </c>
      <c r="F18" s="5">
        <v>0.0</v>
      </c>
      <c r="G18" s="5">
        <v>3.0</v>
      </c>
      <c r="H18" s="5">
        <v>18.0</v>
      </c>
      <c r="I18" s="5">
        <v>5.0</v>
      </c>
    </row>
    <row r="19">
      <c r="A19" s="5">
        <v>3.0</v>
      </c>
      <c r="B19" s="5">
        <v>0.0</v>
      </c>
      <c r="D19" s="5">
        <v>3.0</v>
      </c>
      <c r="E19" s="5">
        <v>0.0</v>
      </c>
      <c r="F19" s="5">
        <v>29.0</v>
      </c>
      <c r="G19" s="5">
        <v>3.0</v>
      </c>
      <c r="H19" s="5">
        <v>19.0</v>
      </c>
      <c r="I19" s="5">
        <v>5.0</v>
      </c>
    </row>
    <row r="20">
      <c r="A20" s="5">
        <v>12.0</v>
      </c>
      <c r="B20" s="5">
        <v>0.0</v>
      </c>
      <c r="D20" s="5">
        <v>12.0</v>
      </c>
      <c r="E20" s="5">
        <v>0.0</v>
      </c>
      <c r="F20" s="5">
        <v>24.0</v>
      </c>
      <c r="G20" s="5">
        <v>3.0</v>
      </c>
      <c r="H20" s="5">
        <v>26.0</v>
      </c>
      <c r="I20" s="5">
        <v>5.0</v>
      </c>
    </row>
    <row r="21">
      <c r="A21" s="5">
        <v>0.0</v>
      </c>
      <c r="B21" s="5">
        <v>0.0</v>
      </c>
      <c r="D21" s="5">
        <v>0.0</v>
      </c>
      <c r="E21" s="5">
        <v>0.0</v>
      </c>
      <c r="F21" s="5">
        <v>0.0</v>
      </c>
      <c r="G21" s="5">
        <v>3.0</v>
      </c>
      <c r="H21" s="5">
        <v>9.0</v>
      </c>
      <c r="I21" s="5">
        <v>5.0</v>
      </c>
    </row>
    <row r="22">
      <c r="A22" s="5">
        <v>4.0</v>
      </c>
      <c r="B22" s="5">
        <v>0.0</v>
      </c>
      <c r="D22" s="5">
        <v>4.0</v>
      </c>
      <c r="E22" s="5">
        <v>0.0</v>
      </c>
      <c r="F22" s="5">
        <v>4.0</v>
      </c>
      <c r="G22" s="5">
        <v>3.0</v>
      </c>
      <c r="H22" s="5">
        <v>8.0</v>
      </c>
      <c r="I22" s="5">
        <v>5.0</v>
      </c>
    </row>
    <row r="23">
      <c r="A23" s="5">
        <v>0.0</v>
      </c>
      <c r="B23" s="5">
        <v>0.0</v>
      </c>
      <c r="D23" s="5">
        <v>0.0</v>
      </c>
      <c r="E23" s="5">
        <v>0.0</v>
      </c>
      <c r="F23" s="5">
        <v>0.0</v>
      </c>
      <c r="G23" s="5">
        <v>3.0</v>
      </c>
      <c r="H23" s="5">
        <v>15.0</v>
      </c>
      <c r="I23" s="5">
        <v>5.0</v>
      </c>
    </row>
    <row r="24">
      <c r="A24" s="5">
        <v>0.0</v>
      </c>
      <c r="B24" s="5">
        <v>0.0</v>
      </c>
      <c r="D24" s="5">
        <v>0.0</v>
      </c>
      <c r="E24" s="5">
        <v>0.0</v>
      </c>
      <c r="F24" s="5">
        <v>0.0</v>
      </c>
      <c r="G24" s="5">
        <v>3.0</v>
      </c>
      <c r="H24" s="5">
        <v>18.0</v>
      </c>
      <c r="I24" s="5">
        <v>5.0</v>
      </c>
    </row>
    <row r="25">
      <c r="A25" s="5">
        <v>0.0</v>
      </c>
      <c r="B25" s="5">
        <v>0.0</v>
      </c>
      <c r="D25" s="5">
        <v>0.0</v>
      </c>
      <c r="E25" s="5">
        <v>0.0</v>
      </c>
      <c r="H25" s="5">
        <v>16.0</v>
      </c>
      <c r="I25" s="5">
        <v>5.0</v>
      </c>
    </row>
    <row r="26">
      <c r="A26" s="5">
        <v>0.0</v>
      </c>
      <c r="B26" s="5">
        <v>0.0</v>
      </c>
      <c r="D26" s="5">
        <v>0.0</v>
      </c>
      <c r="E26" s="5">
        <v>0.0</v>
      </c>
      <c r="H26" s="5">
        <v>18.0</v>
      </c>
      <c r="I26" s="5">
        <v>5.0</v>
      </c>
    </row>
    <row r="27">
      <c r="A27" s="5">
        <v>1.0</v>
      </c>
      <c r="B27" s="5">
        <v>0.0</v>
      </c>
      <c r="D27" s="5">
        <v>1.0</v>
      </c>
      <c r="E27" s="5">
        <v>0.0</v>
      </c>
      <c r="H27" s="5">
        <v>23.0</v>
      </c>
      <c r="I27" s="5">
        <v>5.0</v>
      </c>
    </row>
    <row r="28">
      <c r="A28" s="5">
        <v>0.0</v>
      </c>
      <c r="B28" s="5">
        <v>0.0</v>
      </c>
      <c r="D28" s="5">
        <v>0.0</v>
      </c>
      <c r="E28" s="5">
        <v>0.0</v>
      </c>
      <c r="H28" s="5">
        <v>1.0</v>
      </c>
      <c r="I28" s="5">
        <v>5.0</v>
      </c>
    </row>
    <row r="29">
      <c r="A29" s="5">
        <v>0.0</v>
      </c>
      <c r="B29" s="5">
        <v>1.0</v>
      </c>
      <c r="D29" s="5">
        <v>0.0</v>
      </c>
      <c r="E29" s="5">
        <v>1.0</v>
      </c>
      <c r="H29" s="5">
        <v>16.0</v>
      </c>
      <c r="I29" s="5">
        <v>5.0</v>
      </c>
    </row>
    <row r="30">
      <c r="A30" s="5">
        <v>0.0</v>
      </c>
      <c r="B30" s="5">
        <v>1.0</v>
      </c>
      <c r="D30" s="5">
        <v>0.0</v>
      </c>
      <c r="E30" s="5">
        <v>1.0</v>
      </c>
      <c r="H30" s="5">
        <v>18.0</v>
      </c>
      <c r="I30" s="5">
        <v>5.0</v>
      </c>
    </row>
    <row r="31">
      <c r="A31" s="5">
        <v>9.0</v>
      </c>
      <c r="B31" s="5">
        <v>1.0</v>
      </c>
      <c r="D31" s="5">
        <v>9.0</v>
      </c>
      <c r="E31" s="5">
        <v>1.0</v>
      </c>
      <c r="H31" s="5">
        <v>25.0</v>
      </c>
      <c r="I31" s="5">
        <v>5.0</v>
      </c>
    </row>
    <row r="32">
      <c r="A32" s="5">
        <v>16.0</v>
      </c>
      <c r="B32" s="5">
        <v>1.0</v>
      </c>
      <c r="D32" s="5">
        <v>16.0</v>
      </c>
      <c r="E32" s="5">
        <v>1.0</v>
      </c>
      <c r="H32" s="5">
        <v>17.0</v>
      </c>
      <c r="I32" s="5">
        <v>5.0</v>
      </c>
    </row>
    <row r="33">
      <c r="A33" s="5">
        <v>15.0</v>
      </c>
      <c r="B33" s="5">
        <v>1.0</v>
      </c>
      <c r="D33" s="5">
        <v>15.0</v>
      </c>
      <c r="E33" s="5">
        <v>1.0</v>
      </c>
      <c r="H33" s="5">
        <v>11.0</v>
      </c>
      <c r="I33" s="5">
        <v>5.0</v>
      </c>
    </row>
    <row r="34">
      <c r="A34" s="5">
        <v>11.0</v>
      </c>
      <c r="B34" s="5">
        <v>1.0</v>
      </c>
      <c r="D34" s="5">
        <v>11.0</v>
      </c>
      <c r="E34" s="5">
        <v>1.0</v>
      </c>
      <c r="H34" s="5">
        <v>21.0</v>
      </c>
      <c r="I34" s="5">
        <v>5.0</v>
      </c>
    </row>
    <row r="35">
      <c r="A35" s="5">
        <v>26.0</v>
      </c>
      <c r="B35" s="5">
        <v>1.0</v>
      </c>
      <c r="D35" s="5">
        <v>26.0</v>
      </c>
      <c r="E35" s="5">
        <v>1.0</v>
      </c>
      <c r="H35" s="5">
        <v>19.0</v>
      </c>
      <c r="I35" s="5">
        <v>5.0</v>
      </c>
    </row>
    <row r="36">
      <c r="A36" s="5">
        <v>8.0</v>
      </c>
      <c r="B36" s="5">
        <v>1.0</v>
      </c>
      <c r="D36" s="5">
        <v>8.0</v>
      </c>
      <c r="E36" s="5">
        <v>1.0</v>
      </c>
      <c r="H36" s="5">
        <v>12.0</v>
      </c>
      <c r="I36" s="5">
        <v>5.0</v>
      </c>
    </row>
    <row r="37">
      <c r="A37" s="5">
        <v>10.0</v>
      </c>
      <c r="B37" s="5">
        <v>1.0</v>
      </c>
      <c r="D37" s="5">
        <v>10.0</v>
      </c>
      <c r="E37" s="5">
        <v>1.0</v>
      </c>
      <c r="H37" s="5">
        <v>26.0</v>
      </c>
      <c r="I37" s="5">
        <v>5.0</v>
      </c>
    </row>
    <row r="38">
      <c r="A38" s="5">
        <v>0.0</v>
      </c>
      <c r="B38" s="5">
        <v>1.0</v>
      </c>
      <c r="D38" s="5">
        <v>0.0</v>
      </c>
      <c r="E38" s="5">
        <v>1.0</v>
      </c>
      <c r="H38" s="5">
        <v>0.0</v>
      </c>
      <c r="I38" s="5">
        <v>5.0</v>
      </c>
    </row>
    <row r="39">
      <c r="A39" s="5">
        <v>1.0</v>
      </c>
      <c r="B39" s="5">
        <v>1.0</v>
      </c>
      <c r="D39" s="5">
        <v>1.0</v>
      </c>
      <c r="E39" s="5">
        <v>1.0</v>
      </c>
      <c r="H39" s="5">
        <v>0.0</v>
      </c>
      <c r="I39" s="5">
        <v>5.0</v>
      </c>
    </row>
    <row r="40">
      <c r="A40" s="5">
        <v>27.0</v>
      </c>
      <c r="B40" s="5">
        <v>1.0</v>
      </c>
      <c r="D40" s="5">
        <v>27.0</v>
      </c>
      <c r="E40" s="5">
        <v>1.0</v>
      </c>
    </row>
    <row r="41">
      <c r="A41" s="5">
        <v>0.0</v>
      </c>
      <c r="B41" s="5">
        <v>1.0</v>
      </c>
      <c r="D41" s="5">
        <v>0.0</v>
      </c>
      <c r="E41" s="5">
        <v>1.0</v>
      </c>
    </row>
    <row r="42">
      <c r="A42" s="5">
        <v>0.0</v>
      </c>
      <c r="B42" s="5">
        <v>1.0</v>
      </c>
      <c r="D42" s="5">
        <v>0.0</v>
      </c>
      <c r="E42" s="5">
        <v>1.0</v>
      </c>
    </row>
    <row r="43">
      <c r="A43" s="5">
        <v>0.0</v>
      </c>
      <c r="B43" s="5">
        <v>1.0</v>
      </c>
      <c r="D43" s="5">
        <v>0.0</v>
      </c>
      <c r="E43" s="5">
        <v>1.0</v>
      </c>
    </row>
    <row r="44">
      <c r="A44" s="5">
        <v>0.0</v>
      </c>
      <c r="B44" s="5">
        <v>2.0</v>
      </c>
    </row>
    <row r="45">
      <c r="A45" s="5">
        <v>0.0</v>
      </c>
      <c r="B45" s="5">
        <v>2.0</v>
      </c>
    </row>
    <row r="46">
      <c r="A46" s="5">
        <v>0.0</v>
      </c>
      <c r="B46" s="5">
        <v>2.0</v>
      </c>
    </row>
    <row r="47">
      <c r="A47" s="5">
        <v>6.0</v>
      </c>
      <c r="B47" s="5">
        <v>2.0</v>
      </c>
    </row>
    <row r="48">
      <c r="A48" s="5">
        <v>0.0</v>
      </c>
      <c r="B48" s="5">
        <v>2.0</v>
      </c>
    </row>
    <row r="49">
      <c r="A49" s="5">
        <v>0.0</v>
      </c>
      <c r="B49" s="5">
        <v>2.0</v>
      </c>
    </row>
    <row r="50">
      <c r="A50" s="5">
        <v>0.0</v>
      </c>
      <c r="B50" s="5">
        <v>2.0</v>
      </c>
    </row>
    <row r="51">
      <c r="A51" s="5">
        <v>0.0</v>
      </c>
      <c r="B51" s="5">
        <v>2.0</v>
      </c>
    </row>
    <row r="52">
      <c r="A52" s="5">
        <v>0.0</v>
      </c>
      <c r="B52" s="5">
        <v>2.0</v>
      </c>
    </row>
    <row r="53">
      <c r="A53" s="5">
        <v>0.0</v>
      </c>
      <c r="B53" s="5">
        <v>3.0</v>
      </c>
    </row>
    <row r="54">
      <c r="A54" s="5">
        <v>0.0</v>
      </c>
      <c r="B54" s="5">
        <v>3.0</v>
      </c>
    </row>
    <row r="55">
      <c r="A55" s="5">
        <v>11.0</v>
      </c>
      <c r="B55" s="5">
        <v>3.0</v>
      </c>
    </row>
    <row r="56">
      <c r="A56" s="5">
        <v>8.0</v>
      </c>
      <c r="B56" s="5">
        <v>3.0</v>
      </c>
    </row>
    <row r="57">
      <c r="A57" s="5">
        <v>0.0</v>
      </c>
      <c r="B57" s="5">
        <v>3.0</v>
      </c>
    </row>
    <row r="58">
      <c r="A58" s="5">
        <v>0.0</v>
      </c>
      <c r="B58" s="5">
        <v>3.0</v>
      </c>
    </row>
    <row r="59">
      <c r="A59" s="5">
        <v>12.0</v>
      </c>
      <c r="B59" s="5">
        <v>3.0</v>
      </c>
    </row>
    <row r="60">
      <c r="A60" s="5">
        <v>0.0</v>
      </c>
      <c r="B60" s="5">
        <v>3.0</v>
      </c>
    </row>
    <row r="61">
      <c r="A61" s="5">
        <v>29.0</v>
      </c>
      <c r="B61" s="5">
        <v>3.0</v>
      </c>
    </row>
    <row r="62">
      <c r="A62" s="5">
        <v>24.0</v>
      </c>
      <c r="B62" s="5">
        <v>3.0</v>
      </c>
    </row>
    <row r="63">
      <c r="A63" s="5">
        <v>0.0</v>
      </c>
      <c r="B63" s="5">
        <v>3.0</v>
      </c>
    </row>
    <row r="64">
      <c r="A64" s="5">
        <v>4.0</v>
      </c>
      <c r="B64" s="5">
        <v>3.0</v>
      </c>
    </row>
    <row r="65">
      <c r="A65" s="5">
        <v>0.0</v>
      </c>
      <c r="B65" s="5">
        <v>3.0</v>
      </c>
    </row>
    <row r="66">
      <c r="A66" s="5">
        <v>0.0</v>
      </c>
      <c r="B66" s="5">
        <v>3.0</v>
      </c>
    </row>
    <row r="67">
      <c r="A67" s="5">
        <v>0.0</v>
      </c>
      <c r="B67" s="5">
        <v>4.0</v>
      </c>
    </row>
    <row r="68">
      <c r="A68" s="5">
        <v>14.0</v>
      </c>
      <c r="B68" s="5">
        <v>4.0</v>
      </c>
    </row>
    <row r="69">
      <c r="A69" s="5">
        <v>0.0</v>
      </c>
      <c r="B69" s="5">
        <v>4.0</v>
      </c>
    </row>
    <row r="70">
      <c r="A70" s="5">
        <v>0.0</v>
      </c>
      <c r="B70" s="5">
        <v>4.0</v>
      </c>
    </row>
    <row r="71">
      <c r="A71" s="5">
        <v>0.0</v>
      </c>
      <c r="B71" s="5">
        <v>4.0</v>
      </c>
    </row>
    <row r="72">
      <c r="A72" s="5">
        <v>14.0</v>
      </c>
      <c r="B72" s="5">
        <v>5.0</v>
      </c>
    </row>
    <row r="73">
      <c r="A73" s="5">
        <v>15.0</v>
      </c>
      <c r="B73" s="5">
        <v>5.0</v>
      </c>
    </row>
    <row r="74">
      <c r="A74" s="5">
        <v>6.0</v>
      </c>
      <c r="B74" s="5">
        <v>5.0</v>
      </c>
    </row>
    <row r="75">
      <c r="A75" s="5">
        <v>21.0</v>
      </c>
      <c r="B75" s="5">
        <v>5.0</v>
      </c>
    </row>
    <row r="76">
      <c r="A76" s="5">
        <v>18.0</v>
      </c>
      <c r="B76" s="5">
        <v>5.0</v>
      </c>
    </row>
    <row r="77">
      <c r="A77" s="5">
        <v>22.0</v>
      </c>
      <c r="B77" s="5">
        <v>5.0</v>
      </c>
    </row>
    <row r="78">
      <c r="A78" s="5">
        <v>27.0</v>
      </c>
      <c r="B78" s="5">
        <v>5.0</v>
      </c>
    </row>
    <row r="79">
      <c r="A79" s="5">
        <v>18.0</v>
      </c>
      <c r="B79" s="5">
        <v>5.0</v>
      </c>
    </row>
    <row r="80">
      <c r="A80" s="5">
        <v>24.0</v>
      </c>
      <c r="B80" s="5">
        <v>5.0</v>
      </c>
    </row>
    <row r="81">
      <c r="A81" s="5">
        <v>21.0</v>
      </c>
      <c r="B81" s="5">
        <v>5.0</v>
      </c>
    </row>
    <row r="82">
      <c r="A82" s="5">
        <v>20.0</v>
      </c>
      <c r="B82" s="5">
        <v>5.0</v>
      </c>
    </row>
    <row r="83">
      <c r="A83" s="5">
        <v>18.0</v>
      </c>
      <c r="B83" s="5">
        <v>5.0</v>
      </c>
    </row>
    <row r="84">
      <c r="A84" s="5">
        <v>19.0</v>
      </c>
      <c r="B84" s="5">
        <v>5.0</v>
      </c>
    </row>
    <row r="85">
      <c r="A85" s="5">
        <v>26.0</v>
      </c>
      <c r="B85" s="5">
        <v>5.0</v>
      </c>
    </row>
    <row r="86">
      <c r="A86" s="5">
        <v>9.0</v>
      </c>
      <c r="B86" s="5">
        <v>5.0</v>
      </c>
    </row>
    <row r="87">
      <c r="A87" s="5">
        <v>8.0</v>
      </c>
      <c r="B87" s="5">
        <v>5.0</v>
      </c>
    </row>
    <row r="88">
      <c r="A88" s="5">
        <v>15.0</v>
      </c>
      <c r="B88" s="5">
        <v>5.0</v>
      </c>
    </row>
    <row r="89">
      <c r="A89" s="5">
        <v>18.0</v>
      </c>
      <c r="B89" s="5">
        <v>5.0</v>
      </c>
    </row>
    <row r="90">
      <c r="A90" s="5">
        <v>16.0</v>
      </c>
      <c r="B90" s="5">
        <v>5.0</v>
      </c>
    </row>
    <row r="91">
      <c r="A91" s="5">
        <v>18.0</v>
      </c>
      <c r="B91" s="5">
        <v>5.0</v>
      </c>
    </row>
    <row r="92">
      <c r="A92" s="5">
        <v>23.0</v>
      </c>
      <c r="B92" s="5">
        <v>5.0</v>
      </c>
    </row>
    <row r="93">
      <c r="A93" s="5">
        <v>1.0</v>
      </c>
      <c r="B93" s="5">
        <v>5.0</v>
      </c>
    </row>
    <row r="94">
      <c r="A94" s="5">
        <v>16.0</v>
      </c>
      <c r="B94" s="5">
        <v>5.0</v>
      </c>
    </row>
    <row r="95">
      <c r="A95" s="5">
        <v>18.0</v>
      </c>
      <c r="B95" s="5">
        <v>5.0</v>
      </c>
    </row>
    <row r="96">
      <c r="A96" s="5">
        <v>25.0</v>
      </c>
      <c r="B96" s="5">
        <v>5.0</v>
      </c>
    </row>
    <row r="97">
      <c r="A97" s="5">
        <v>17.0</v>
      </c>
      <c r="B97" s="5">
        <v>5.0</v>
      </c>
    </row>
    <row r="98">
      <c r="A98" s="5">
        <v>11.0</v>
      </c>
      <c r="B98" s="5">
        <v>5.0</v>
      </c>
    </row>
    <row r="99">
      <c r="A99" s="5">
        <v>21.0</v>
      </c>
      <c r="B99" s="5">
        <v>5.0</v>
      </c>
    </row>
    <row r="100">
      <c r="A100" s="5">
        <v>19.0</v>
      </c>
      <c r="B100" s="5">
        <v>5.0</v>
      </c>
    </row>
    <row r="101">
      <c r="A101" s="5">
        <v>12.0</v>
      </c>
      <c r="B101" s="5">
        <v>5.0</v>
      </c>
    </row>
    <row r="102">
      <c r="A102" s="5">
        <v>26.0</v>
      </c>
      <c r="B102" s="5">
        <v>5.0</v>
      </c>
    </row>
    <row r="103">
      <c r="A103" s="5">
        <v>0.0</v>
      </c>
      <c r="B103" s="5">
        <v>5.0</v>
      </c>
    </row>
    <row r="104">
      <c r="A104" s="5">
        <v>0.0</v>
      </c>
      <c r="B104" s="5">
        <v>5.0</v>
      </c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  <row r="1001">
      <c r="A1001" s="4"/>
      <c r="B100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0.63"/>
    <col customWidth="1" min="3" max="3" width="8.0"/>
    <col customWidth="1" min="4" max="16" width="7.63"/>
    <col customWidth="1" min="17" max="17" width="8.25"/>
    <col customWidth="1" min="18" max="26" width="7.63"/>
  </cols>
  <sheetData>
    <row r="1">
      <c r="A1" s="1" t="s">
        <v>4</v>
      </c>
      <c r="B1" s="1" t="s">
        <v>31</v>
      </c>
      <c r="C1" s="6" t="s">
        <v>32</v>
      </c>
      <c r="E1" s="7" t="s">
        <v>33</v>
      </c>
      <c r="F1" s="7" t="s">
        <v>34</v>
      </c>
      <c r="Q1" s="2" t="s">
        <v>35</v>
      </c>
      <c r="S1" s="2" t="s">
        <v>36</v>
      </c>
      <c r="T1" s="2" t="s">
        <v>37</v>
      </c>
      <c r="U1" s="2" t="s">
        <v>38</v>
      </c>
    </row>
    <row r="2">
      <c r="A2" s="1">
        <v>0.0</v>
      </c>
      <c r="B2" s="1">
        <v>0.0</v>
      </c>
      <c r="C2" s="6">
        <v>0.0</v>
      </c>
      <c r="E2" s="8">
        <v>0.0</v>
      </c>
      <c r="F2" s="8">
        <v>45.0</v>
      </c>
      <c r="Q2" s="1">
        <f t="array" ref="Q2:Q104">SORT(A2:A104)</f>
        <v>0</v>
      </c>
      <c r="S2" s="1">
        <f t="shared" ref="S2:S46" si="1">VALUE(LEFT(Q2,1))</f>
        <v>0</v>
      </c>
      <c r="T2" s="9">
        <f t="shared" ref="T2:T104" si="2">VALUE(RIGHT(Q2,1))</f>
        <v>0</v>
      </c>
      <c r="U2" s="10">
        <f t="shared" ref="U2:U104" si="3">COUNTIF($S$2:S2,S2)</f>
        <v>1</v>
      </c>
    </row>
    <row r="3">
      <c r="A3" s="1">
        <v>0.0</v>
      </c>
      <c r="B3" s="1">
        <v>6.0</v>
      </c>
      <c r="C3" s="6" t="s">
        <v>39</v>
      </c>
      <c r="E3" s="8">
        <v>6.0</v>
      </c>
      <c r="F3" s="8">
        <v>8.0</v>
      </c>
      <c r="Q3" s="1">
        <v>0.0</v>
      </c>
      <c r="S3" s="1">
        <f t="shared" si="1"/>
        <v>0</v>
      </c>
      <c r="T3" s="9">
        <f t="shared" si="2"/>
        <v>0</v>
      </c>
      <c r="U3" s="10">
        <f t="shared" si="3"/>
        <v>2</v>
      </c>
    </row>
    <row r="4">
      <c r="A4" s="1">
        <v>0.0</v>
      </c>
      <c r="B4" s="1">
        <v>12.0</v>
      </c>
      <c r="C4" s="6" t="s">
        <v>40</v>
      </c>
      <c r="E4" s="8">
        <v>12.0</v>
      </c>
      <c r="F4" s="8">
        <v>14.0</v>
      </c>
      <c r="Q4" s="1">
        <v>0.0</v>
      </c>
      <c r="S4" s="1">
        <f t="shared" si="1"/>
        <v>0</v>
      </c>
      <c r="T4" s="9">
        <f t="shared" si="2"/>
        <v>0</v>
      </c>
      <c r="U4" s="10">
        <f t="shared" si="3"/>
        <v>3</v>
      </c>
    </row>
    <row r="5">
      <c r="A5" s="1">
        <v>0.0</v>
      </c>
      <c r="B5" s="1">
        <v>18.0</v>
      </c>
      <c r="C5" s="6" t="s">
        <v>41</v>
      </c>
      <c r="E5" s="8">
        <v>18.0</v>
      </c>
      <c r="F5" s="8">
        <v>18.0</v>
      </c>
      <c r="Q5" s="1">
        <v>0.0</v>
      </c>
      <c r="S5" s="1">
        <f t="shared" si="1"/>
        <v>0</v>
      </c>
      <c r="T5" s="9">
        <f t="shared" si="2"/>
        <v>0</v>
      </c>
      <c r="U5" s="10">
        <f t="shared" si="3"/>
        <v>4</v>
      </c>
    </row>
    <row r="6">
      <c r="A6" s="1">
        <v>0.0</v>
      </c>
      <c r="B6" s="1">
        <v>24.0</v>
      </c>
      <c r="C6" s="6" t="s">
        <v>42</v>
      </c>
      <c r="E6" s="8">
        <v>24.0</v>
      </c>
      <c r="F6" s="8">
        <v>10.0</v>
      </c>
      <c r="Q6" s="1">
        <v>0.0</v>
      </c>
      <c r="S6" s="1">
        <f t="shared" si="1"/>
        <v>0</v>
      </c>
      <c r="T6" s="9">
        <f t="shared" si="2"/>
        <v>0</v>
      </c>
      <c r="U6" s="10">
        <f t="shared" si="3"/>
        <v>5</v>
      </c>
    </row>
    <row r="7">
      <c r="A7" s="1">
        <v>7.0</v>
      </c>
      <c r="B7" s="1">
        <v>30.0</v>
      </c>
      <c r="C7" s="6" t="s">
        <v>43</v>
      </c>
      <c r="E7" s="8">
        <v>30.0</v>
      </c>
      <c r="F7" s="8">
        <v>8.0</v>
      </c>
      <c r="Q7" s="1">
        <v>0.0</v>
      </c>
      <c r="S7" s="1">
        <f t="shared" si="1"/>
        <v>0</v>
      </c>
      <c r="T7" s="9">
        <f t="shared" si="2"/>
        <v>0</v>
      </c>
      <c r="U7" s="10">
        <f t="shared" si="3"/>
        <v>6</v>
      </c>
    </row>
    <row r="8">
      <c r="A8" s="1">
        <v>0.0</v>
      </c>
      <c r="C8" s="6"/>
      <c r="E8" s="11" t="s">
        <v>44</v>
      </c>
      <c r="F8" s="11">
        <v>0.0</v>
      </c>
      <c r="Q8" s="1">
        <v>0.0</v>
      </c>
      <c r="S8" s="1">
        <f t="shared" si="1"/>
        <v>0</v>
      </c>
      <c r="T8" s="9">
        <f t="shared" si="2"/>
        <v>0</v>
      </c>
      <c r="U8" s="10">
        <f t="shared" si="3"/>
        <v>7</v>
      </c>
    </row>
    <row r="9">
      <c r="A9" s="1">
        <v>0.0</v>
      </c>
      <c r="C9" s="6"/>
      <c r="Q9" s="1">
        <v>0.0</v>
      </c>
      <c r="S9" s="1">
        <f t="shared" si="1"/>
        <v>0</v>
      </c>
      <c r="T9" s="9">
        <f t="shared" si="2"/>
        <v>0</v>
      </c>
      <c r="U9" s="10">
        <f t="shared" si="3"/>
        <v>8</v>
      </c>
    </row>
    <row r="10">
      <c r="A10" s="1">
        <v>0.0</v>
      </c>
      <c r="C10" s="6"/>
      <c r="Q10" s="1">
        <v>0.0</v>
      </c>
      <c r="S10" s="1">
        <f t="shared" si="1"/>
        <v>0</v>
      </c>
      <c r="T10" s="9">
        <f t="shared" si="2"/>
        <v>0</v>
      </c>
      <c r="U10" s="10">
        <f t="shared" si="3"/>
        <v>9</v>
      </c>
    </row>
    <row r="11">
      <c r="A11" s="1">
        <v>0.0</v>
      </c>
      <c r="C11" s="6"/>
      <c r="Q11" s="1">
        <v>0.0</v>
      </c>
      <c r="S11" s="1">
        <f t="shared" si="1"/>
        <v>0</v>
      </c>
      <c r="T11" s="9">
        <f t="shared" si="2"/>
        <v>0</v>
      </c>
      <c r="U11" s="10">
        <f t="shared" si="3"/>
        <v>10</v>
      </c>
    </row>
    <row r="12">
      <c r="A12" s="1">
        <v>0.0</v>
      </c>
      <c r="C12" s="6"/>
      <c r="Q12" s="1">
        <v>0.0</v>
      </c>
      <c r="S12" s="1">
        <f t="shared" si="1"/>
        <v>0</v>
      </c>
      <c r="T12" s="9">
        <f t="shared" si="2"/>
        <v>0</v>
      </c>
      <c r="U12" s="10">
        <f t="shared" si="3"/>
        <v>11</v>
      </c>
    </row>
    <row r="13">
      <c r="A13" s="1">
        <v>0.0</v>
      </c>
      <c r="C13" s="6"/>
      <c r="Q13" s="1">
        <v>0.0</v>
      </c>
      <c r="S13" s="1">
        <f t="shared" si="1"/>
        <v>0</v>
      </c>
      <c r="T13" s="9">
        <f t="shared" si="2"/>
        <v>0</v>
      </c>
      <c r="U13" s="10">
        <f t="shared" si="3"/>
        <v>12</v>
      </c>
    </row>
    <row r="14">
      <c r="A14" s="1">
        <v>0.0</v>
      </c>
      <c r="C14" s="6"/>
      <c r="Q14" s="1">
        <v>0.0</v>
      </c>
      <c r="S14" s="1">
        <f t="shared" si="1"/>
        <v>0</v>
      </c>
      <c r="T14" s="9">
        <f t="shared" si="2"/>
        <v>0</v>
      </c>
      <c r="U14" s="10">
        <f t="shared" si="3"/>
        <v>13</v>
      </c>
    </row>
    <row r="15">
      <c r="A15" s="1">
        <v>0.0</v>
      </c>
      <c r="C15" s="6"/>
      <c r="Q15" s="1">
        <v>0.0</v>
      </c>
      <c r="S15" s="1">
        <f t="shared" si="1"/>
        <v>0</v>
      </c>
      <c r="T15" s="9">
        <f t="shared" si="2"/>
        <v>0</v>
      </c>
      <c r="U15" s="10">
        <f t="shared" si="3"/>
        <v>14</v>
      </c>
    </row>
    <row r="16">
      <c r="A16" s="1">
        <v>14.0</v>
      </c>
      <c r="C16" s="6"/>
      <c r="Q16" s="1">
        <v>0.0</v>
      </c>
      <c r="S16" s="1">
        <f t="shared" si="1"/>
        <v>0</v>
      </c>
      <c r="T16" s="9">
        <f t="shared" si="2"/>
        <v>0</v>
      </c>
      <c r="U16" s="10">
        <f t="shared" si="3"/>
        <v>15</v>
      </c>
    </row>
    <row r="17">
      <c r="A17" s="1">
        <v>11.0</v>
      </c>
      <c r="C17" s="6"/>
      <c r="Q17" s="1">
        <v>0.0</v>
      </c>
      <c r="S17" s="1">
        <f t="shared" si="1"/>
        <v>0</v>
      </c>
      <c r="T17" s="9">
        <f t="shared" si="2"/>
        <v>0</v>
      </c>
      <c r="U17" s="10">
        <f t="shared" si="3"/>
        <v>16</v>
      </c>
    </row>
    <row r="18">
      <c r="A18" s="1">
        <v>15.0</v>
      </c>
      <c r="C18" s="6"/>
      <c r="Q18" s="1">
        <v>0.0</v>
      </c>
      <c r="S18" s="1">
        <f t="shared" si="1"/>
        <v>0</v>
      </c>
      <c r="T18" s="9">
        <f t="shared" si="2"/>
        <v>0</v>
      </c>
      <c r="U18" s="10">
        <f t="shared" si="3"/>
        <v>17</v>
      </c>
    </row>
    <row r="19">
      <c r="A19" s="1">
        <v>6.0</v>
      </c>
      <c r="C19" s="6"/>
      <c r="Q19" s="1">
        <v>0.0</v>
      </c>
      <c r="S19" s="1">
        <f t="shared" si="1"/>
        <v>0</v>
      </c>
      <c r="T19" s="9">
        <f t="shared" si="2"/>
        <v>0</v>
      </c>
      <c r="U19" s="10">
        <f t="shared" si="3"/>
        <v>18</v>
      </c>
    </row>
    <row r="20">
      <c r="A20" s="1">
        <v>8.0</v>
      </c>
      <c r="C20" s="6"/>
      <c r="Q20" s="1">
        <v>0.0</v>
      </c>
      <c r="S20" s="1">
        <f t="shared" si="1"/>
        <v>0</v>
      </c>
      <c r="T20" s="9">
        <f t="shared" si="2"/>
        <v>0</v>
      </c>
      <c r="U20" s="10">
        <f t="shared" si="3"/>
        <v>19</v>
      </c>
    </row>
    <row r="21" ht="15.75" customHeight="1">
      <c r="A21" s="1">
        <v>14.0</v>
      </c>
      <c r="C21" s="6"/>
      <c r="Q21" s="1">
        <v>0.0</v>
      </c>
      <c r="S21" s="1">
        <f t="shared" si="1"/>
        <v>0</v>
      </c>
      <c r="T21" s="9">
        <f t="shared" si="2"/>
        <v>0</v>
      </c>
      <c r="U21" s="10">
        <f t="shared" si="3"/>
        <v>20</v>
      </c>
    </row>
    <row r="22" ht="15.75" customHeight="1">
      <c r="A22" s="1">
        <v>9.0</v>
      </c>
      <c r="C22" s="6"/>
      <c r="Q22" s="1">
        <v>0.0</v>
      </c>
      <c r="S22" s="1">
        <f t="shared" si="1"/>
        <v>0</v>
      </c>
      <c r="T22" s="9">
        <f t="shared" si="2"/>
        <v>0</v>
      </c>
      <c r="U22" s="10">
        <f t="shared" si="3"/>
        <v>21</v>
      </c>
    </row>
    <row r="23" ht="15.75" customHeight="1">
      <c r="A23" s="1">
        <v>21.0</v>
      </c>
      <c r="C23" s="6"/>
      <c r="Q23" s="1">
        <v>0.0</v>
      </c>
      <c r="S23" s="1">
        <f t="shared" si="1"/>
        <v>0</v>
      </c>
      <c r="T23" s="9">
        <f t="shared" si="2"/>
        <v>0</v>
      </c>
      <c r="U23" s="10">
        <f t="shared" si="3"/>
        <v>22</v>
      </c>
    </row>
    <row r="24" ht="15.75" customHeight="1">
      <c r="A24" s="1">
        <v>16.0</v>
      </c>
      <c r="C24" s="6"/>
      <c r="Q24" s="1">
        <v>0.0</v>
      </c>
      <c r="S24" s="1">
        <f t="shared" si="1"/>
        <v>0</v>
      </c>
      <c r="T24" s="9">
        <f t="shared" si="2"/>
        <v>0</v>
      </c>
      <c r="U24" s="10">
        <f t="shared" si="3"/>
        <v>23</v>
      </c>
    </row>
    <row r="25" ht="15.75" customHeight="1">
      <c r="A25" s="1">
        <v>15.0</v>
      </c>
      <c r="C25" s="6"/>
      <c r="Q25" s="1">
        <v>0.0</v>
      </c>
      <c r="S25" s="1">
        <f t="shared" si="1"/>
        <v>0</v>
      </c>
      <c r="T25" s="9">
        <f t="shared" si="2"/>
        <v>0</v>
      </c>
      <c r="U25" s="10">
        <f t="shared" si="3"/>
        <v>24</v>
      </c>
    </row>
    <row r="26" ht="15.75" customHeight="1">
      <c r="A26" s="1">
        <v>18.0</v>
      </c>
      <c r="C26" s="6"/>
      <c r="Q26" s="1">
        <v>0.0</v>
      </c>
      <c r="S26" s="1">
        <f t="shared" si="1"/>
        <v>0</v>
      </c>
      <c r="T26" s="9">
        <f t="shared" si="2"/>
        <v>0</v>
      </c>
      <c r="U26" s="10">
        <f t="shared" si="3"/>
        <v>25</v>
      </c>
    </row>
    <row r="27" ht="15.75" customHeight="1">
      <c r="A27" s="1">
        <v>11.0</v>
      </c>
      <c r="C27" s="6"/>
      <c r="M27" s="12"/>
      <c r="N27" s="13"/>
      <c r="O27" s="14"/>
      <c r="Q27" s="1">
        <v>0.0</v>
      </c>
      <c r="S27" s="1">
        <f t="shared" si="1"/>
        <v>0</v>
      </c>
      <c r="T27" s="9">
        <f t="shared" si="2"/>
        <v>0</v>
      </c>
      <c r="U27" s="10">
        <f t="shared" si="3"/>
        <v>26</v>
      </c>
    </row>
    <row r="28" ht="15.75" customHeight="1">
      <c r="A28" s="1">
        <v>22.0</v>
      </c>
      <c r="C28" s="6"/>
      <c r="M28" s="15"/>
      <c r="N28" s="16"/>
      <c r="O28" s="17"/>
      <c r="Q28" s="1">
        <v>0.0</v>
      </c>
      <c r="S28" s="1">
        <f t="shared" si="1"/>
        <v>0</v>
      </c>
      <c r="T28" s="9">
        <f t="shared" si="2"/>
        <v>0</v>
      </c>
      <c r="U28" s="10">
        <f t="shared" si="3"/>
        <v>27</v>
      </c>
    </row>
    <row r="29" ht="15.75" customHeight="1">
      <c r="A29" s="1">
        <v>26.0</v>
      </c>
      <c r="C29" s="6"/>
      <c r="M29" s="15"/>
      <c r="N29" s="16"/>
      <c r="O29" s="17"/>
      <c r="Q29" s="1">
        <v>0.0</v>
      </c>
      <c r="S29" s="1">
        <f t="shared" si="1"/>
        <v>0</v>
      </c>
      <c r="T29" s="9">
        <f t="shared" si="2"/>
        <v>0</v>
      </c>
      <c r="U29" s="10">
        <f t="shared" si="3"/>
        <v>28</v>
      </c>
    </row>
    <row r="30" ht="15.75" customHeight="1">
      <c r="A30" s="1">
        <v>27.0</v>
      </c>
      <c r="C30" s="6"/>
      <c r="M30" s="15"/>
      <c r="N30" s="16"/>
      <c r="O30" s="17"/>
      <c r="Q30" s="1">
        <v>0.0</v>
      </c>
      <c r="S30" s="1">
        <f t="shared" si="1"/>
        <v>0</v>
      </c>
      <c r="T30" s="9">
        <f t="shared" si="2"/>
        <v>0</v>
      </c>
      <c r="U30" s="10">
        <f t="shared" si="3"/>
        <v>29</v>
      </c>
    </row>
    <row r="31" ht="15.75" customHeight="1">
      <c r="A31" s="1">
        <v>0.0</v>
      </c>
      <c r="C31" s="6"/>
      <c r="M31" s="15"/>
      <c r="N31" s="16"/>
      <c r="O31" s="17"/>
      <c r="Q31" s="1">
        <v>0.0</v>
      </c>
      <c r="S31" s="1">
        <f t="shared" si="1"/>
        <v>0</v>
      </c>
      <c r="T31" s="9">
        <f t="shared" si="2"/>
        <v>0</v>
      </c>
      <c r="U31" s="10">
        <f t="shared" si="3"/>
        <v>30</v>
      </c>
    </row>
    <row r="32" ht="15.75" customHeight="1">
      <c r="A32" s="1">
        <v>27.0</v>
      </c>
      <c r="C32" s="6"/>
      <c r="M32" s="15"/>
      <c r="N32" s="16"/>
      <c r="O32" s="17"/>
      <c r="Q32" s="1">
        <v>0.0</v>
      </c>
      <c r="S32" s="1">
        <f t="shared" si="1"/>
        <v>0</v>
      </c>
      <c r="T32" s="9">
        <f t="shared" si="2"/>
        <v>0</v>
      </c>
      <c r="U32" s="10">
        <f t="shared" si="3"/>
        <v>31</v>
      </c>
    </row>
    <row r="33" ht="15.75" customHeight="1">
      <c r="A33" s="1">
        <v>18.0</v>
      </c>
      <c r="C33" s="6"/>
      <c r="M33" s="15"/>
      <c r="N33" s="16"/>
      <c r="O33" s="17"/>
      <c r="Q33" s="1">
        <v>0.0</v>
      </c>
      <c r="S33" s="1">
        <f t="shared" si="1"/>
        <v>0</v>
      </c>
      <c r="T33" s="9">
        <f t="shared" si="2"/>
        <v>0</v>
      </c>
      <c r="U33" s="10">
        <f t="shared" si="3"/>
        <v>32</v>
      </c>
    </row>
    <row r="34" ht="15.75" customHeight="1">
      <c r="A34" s="1">
        <v>0.0</v>
      </c>
      <c r="C34" s="6"/>
      <c r="M34" s="15"/>
      <c r="N34" s="16"/>
      <c r="O34" s="17"/>
      <c r="Q34" s="1">
        <v>0.0</v>
      </c>
      <c r="S34" s="1">
        <f t="shared" si="1"/>
        <v>0</v>
      </c>
      <c r="T34" s="9">
        <f t="shared" si="2"/>
        <v>0</v>
      </c>
      <c r="U34" s="10">
        <f t="shared" si="3"/>
        <v>33</v>
      </c>
    </row>
    <row r="35" ht="15.75" customHeight="1">
      <c r="A35" s="1">
        <v>0.0</v>
      </c>
      <c r="C35" s="6"/>
      <c r="M35" s="15"/>
      <c r="N35" s="16"/>
      <c r="O35" s="17"/>
      <c r="Q35" s="1">
        <v>0.0</v>
      </c>
      <c r="S35" s="1">
        <f t="shared" si="1"/>
        <v>0</v>
      </c>
      <c r="T35" s="9">
        <f t="shared" si="2"/>
        <v>0</v>
      </c>
      <c r="U35" s="10">
        <f t="shared" si="3"/>
        <v>34</v>
      </c>
    </row>
    <row r="36" ht="15.75" customHeight="1">
      <c r="A36" s="1">
        <v>15.0</v>
      </c>
      <c r="C36" s="6"/>
      <c r="M36" s="15"/>
      <c r="N36" s="16"/>
      <c r="O36" s="17"/>
      <c r="Q36" s="1">
        <v>0.0</v>
      </c>
      <c r="S36" s="1">
        <f t="shared" si="1"/>
        <v>0</v>
      </c>
      <c r="T36" s="9">
        <f t="shared" si="2"/>
        <v>0</v>
      </c>
      <c r="U36" s="10">
        <f t="shared" si="3"/>
        <v>35</v>
      </c>
    </row>
    <row r="37" ht="15.75" customHeight="1">
      <c r="A37" s="1">
        <v>12.0</v>
      </c>
      <c r="C37" s="6"/>
      <c r="M37" s="15"/>
      <c r="N37" s="16"/>
      <c r="O37" s="17"/>
      <c r="Q37" s="1">
        <v>0.0</v>
      </c>
      <c r="S37" s="1">
        <f t="shared" si="1"/>
        <v>0</v>
      </c>
      <c r="T37" s="9">
        <f t="shared" si="2"/>
        <v>0</v>
      </c>
      <c r="U37" s="10">
        <f t="shared" si="3"/>
        <v>36</v>
      </c>
    </row>
    <row r="38" ht="15.75" customHeight="1">
      <c r="A38" s="1">
        <v>24.0</v>
      </c>
      <c r="C38" s="6"/>
      <c r="M38" s="15"/>
      <c r="N38" s="16"/>
      <c r="O38" s="17"/>
      <c r="Q38" s="1">
        <v>0.0</v>
      </c>
      <c r="S38" s="1">
        <f t="shared" si="1"/>
        <v>0</v>
      </c>
      <c r="T38" s="9">
        <f t="shared" si="2"/>
        <v>0</v>
      </c>
      <c r="U38" s="10">
        <f t="shared" si="3"/>
        <v>37</v>
      </c>
    </row>
    <row r="39" ht="15.75" customHeight="1">
      <c r="A39" s="1">
        <v>21.0</v>
      </c>
      <c r="C39" s="6"/>
      <c r="M39" s="15"/>
      <c r="N39" s="16"/>
      <c r="O39" s="17"/>
      <c r="Q39" s="1">
        <v>0.0</v>
      </c>
      <c r="S39" s="1">
        <f t="shared" si="1"/>
        <v>0</v>
      </c>
      <c r="T39" s="9">
        <f t="shared" si="2"/>
        <v>0</v>
      </c>
      <c r="U39" s="10">
        <f t="shared" si="3"/>
        <v>38</v>
      </c>
    </row>
    <row r="40" ht="15.75" customHeight="1">
      <c r="A40" s="1">
        <v>20.0</v>
      </c>
      <c r="C40" s="6"/>
      <c r="M40" s="15"/>
      <c r="N40" s="16"/>
      <c r="O40" s="17"/>
      <c r="Q40" s="1">
        <v>0.0</v>
      </c>
      <c r="S40" s="1">
        <f t="shared" si="1"/>
        <v>0</v>
      </c>
      <c r="T40" s="9">
        <f t="shared" si="2"/>
        <v>0</v>
      </c>
      <c r="U40" s="10">
        <f t="shared" si="3"/>
        <v>39</v>
      </c>
    </row>
    <row r="41" ht="15.75" customHeight="1">
      <c r="A41" s="1">
        <v>18.0</v>
      </c>
      <c r="C41" s="6"/>
      <c r="M41" s="15"/>
      <c r="N41" s="16"/>
      <c r="O41" s="17"/>
      <c r="Q41" s="1">
        <v>0.0</v>
      </c>
      <c r="S41" s="1">
        <f t="shared" si="1"/>
        <v>0</v>
      </c>
      <c r="T41" s="9">
        <f t="shared" si="2"/>
        <v>0</v>
      </c>
      <c r="U41" s="10">
        <f t="shared" si="3"/>
        <v>40</v>
      </c>
    </row>
    <row r="42" ht="15.75" customHeight="1">
      <c r="A42" s="1">
        <v>19.0</v>
      </c>
      <c r="C42" s="6"/>
      <c r="M42" s="15"/>
      <c r="N42" s="16"/>
      <c r="O42" s="17"/>
      <c r="Q42" s="1">
        <v>0.0</v>
      </c>
      <c r="S42" s="1">
        <f t="shared" si="1"/>
        <v>0</v>
      </c>
      <c r="T42" s="9">
        <f t="shared" si="2"/>
        <v>0</v>
      </c>
      <c r="U42" s="10">
        <f t="shared" si="3"/>
        <v>41</v>
      </c>
    </row>
    <row r="43" ht="15.75" customHeight="1">
      <c r="A43" s="1">
        <v>26.0</v>
      </c>
      <c r="C43" s="6"/>
      <c r="M43" s="15"/>
      <c r="N43" s="16"/>
      <c r="O43" s="17"/>
      <c r="Q43" s="1">
        <v>0.0</v>
      </c>
      <c r="S43" s="1">
        <f t="shared" si="1"/>
        <v>0</v>
      </c>
      <c r="T43" s="9">
        <f t="shared" si="2"/>
        <v>0</v>
      </c>
      <c r="U43" s="10">
        <f t="shared" si="3"/>
        <v>42</v>
      </c>
    </row>
    <row r="44" ht="15.75" customHeight="1">
      <c r="A44" s="1">
        <v>9.0</v>
      </c>
      <c r="C44" s="6"/>
      <c r="M44" s="18"/>
      <c r="N44" s="19"/>
      <c r="O44" s="20"/>
      <c r="Q44" s="1">
        <v>0.0</v>
      </c>
      <c r="S44" s="1">
        <f t="shared" si="1"/>
        <v>0</v>
      </c>
      <c r="T44" s="9">
        <f t="shared" si="2"/>
        <v>0</v>
      </c>
      <c r="U44" s="10">
        <f t="shared" si="3"/>
        <v>43</v>
      </c>
    </row>
    <row r="45" ht="15.75" customHeight="1">
      <c r="A45" s="1">
        <v>8.0</v>
      </c>
      <c r="C45" s="6"/>
      <c r="Q45" s="1">
        <v>0.0</v>
      </c>
      <c r="S45" s="1">
        <f t="shared" si="1"/>
        <v>0</v>
      </c>
      <c r="T45" s="9">
        <f t="shared" si="2"/>
        <v>0</v>
      </c>
      <c r="U45" s="10">
        <f t="shared" si="3"/>
        <v>44</v>
      </c>
    </row>
    <row r="46" ht="15.75" customHeight="1">
      <c r="A46" s="1">
        <v>10.0</v>
      </c>
      <c r="C46" s="6"/>
      <c r="Q46" s="1">
        <v>0.0</v>
      </c>
      <c r="S46" s="1">
        <f t="shared" si="1"/>
        <v>0</v>
      </c>
      <c r="T46" s="9">
        <f t="shared" si="2"/>
        <v>0</v>
      </c>
      <c r="U46" s="10">
        <f t="shared" si="3"/>
        <v>45</v>
      </c>
    </row>
    <row r="47" ht="15.75" customHeight="1">
      <c r="A47" s="1">
        <v>0.0</v>
      </c>
      <c r="C47" s="6"/>
      <c r="Q47" s="1">
        <v>1.0</v>
      </c>
      <c r="S47" s="2">
        <v>0.0</v>
      </c>
      <c r="T47" s="9">
        <f t="shared" si="2"/>
        <v>1</v>
      </c>
      <c r="U47" s="10">
        <f t="shared" si="3"/>
        <v>46</v>
      </c>
    </row>
    <row r="48" ht="15.75" customHeight="1">
      <c r="A48" s="1">
        <v>0.0</v>
      </c>
      <c r="C48" s="6"/>
      <c r="Q48" s="1">
        <v>1.0</v>
      </c>
      <c r="S48" s="2">
        <v>0.0</v>
      </c>
      <c r="T48" s="9">
        <f t="shared" si="2"/>
        <v>1</v>
      </c>
      <c r="U48" s="10">
        <f t="shared" si="3"/>
        <v>47</v>
      </c>
    </row>
    <row r="49" ht="15.75" customHeight="1">
      <c r="A49" s="1">
        <v>6.0</v>
      </c>
      <c r="C49" s="6"/>
      <c r="Q49" s="1">
        <v>1.0</v>
      </c>
      <c r="S49" s="2">
        <v>0.0</v>
      </c>
      <c r="T49" s="9">
        <f t="shared" si="2"/>
        <v>1</v>
      </c>
      <c r="U49" s="10">
        <f t="shared" si="3"/>
        <v>48</v>
      </c>
    </row>
    <row r="50" ht="15.75" customHeight="1">
      <c r="A50" s="1">
        <v>0.0</v>
      </c>
      <c r="C50" s="6"/>
      <c r="Q50" s="1">
        <v>3.0</v>
      </c>
      <c r="S50" s="2">
        <v>0.0</v>
      </c>
      <c r="T50" s="9">
        <f t="shared" si="2"/>
        <v>3</v>
      </c>
      <c r="U50" s="10">
        <f t="shared" si="3"/>
        <v>49</v>
      </c>
    </row>
    <row r="51" ht="15.75" customHeight="1">
      <c r="A51" s="1">
        <v>0.0</v>
      </c>
      <c r="C51" s="6"/>
      <c r="Q51" s="1">
        <v>4.0</v>
      </c>
      <c r="S51" s="2">
        <v>0.0</v>
      </c>
      <c r="T51" s="9">
        <f t="shared" si="2"/>
        <v>4</v>
      </c>
      <c r="U51" s="10">
        <f t="shared" si="3"/>
        <v>50</v>
      </c>
    </row>
    <row r="52" ht="15.75" customHeight="1">
      <c r="A52" s="1">
        <v>0.0</v>
      </c>
      <c r="C52" s="6"/>
      <c r="Q52" s="1">
        <v>4.0</v>
      </c>
      <c r="S52" s="2">
        <v>0.0</v>
      </c>
      <c r="T52" s="9">
        <f t="shared" si="2"/>
        <v>4</v>
      </c>
      <c r="U52" s="10">
        <f t="shared" si="3"/>
        <v>51</v>
      </c>
    </row>
    <row r="53" ht="15.75" customHeight="1">
      <c r="A53" s="1">
        <v>0.0</v>
      </c>
      <c r="C53" s="6"/>
      <c r="Q53" s="1">
        <v>6.0</v>
      </c>
      <c r="S53" s="2">
        <v>0.0</v>
      </c>
      <c r="T53" s="9">
        <f t="shared" si="2"/>
        <v>6</v>
      </c>
      <c r="U53" s="10">
        <f t="shared" si="3"/>
        <v>52</v>
      </c>
    </row>
    <row r="54" ht="15.75" customHeight="1">
      <c r="A54" s="1">
        <v>1.0</v>
      </c>
      <c r="C54" s="6"/>
      <c r="Q54" s="1">
        <v>6.0</v>
      </c>
      <c r="S54" s="2">
        <v>0.0</v>
      </c>
      <c r="T54" s="9">
        <f t="shared" si="2"/>
        <v>6</v>
      </c>
      <c r="U54" s="10">
        <f t="shared" si="3"/>
        <v>53</v>
      </c>
    </row>
    <row r="55" ht="15.75" customHeight="1">
      <c r="A55" s="1">
        <v>8.0</v>
      </c>
      <c r="C55" s="6"/>
      <c r="Q55" s="1">
        <v>7.0</v>
      </c>
      <c r="S55" s="2">
        <v>0.0</v>
      </c>
      <c r="T55" s="9">
        <f t="shared" si="2"/>
        <v>7</v>
      </c>
      <c r="U55" s="10">
        <f t="shared" si="3"/>
        <v>54</v>
      </c>
    </row>
    <row r="56" ht="15.75" customHeight="1">
      <c r="A56" s="1">
        <v>15.0</v>
      </c>
      <c r="C56" s="6"/>
      <c r="Q56" s="1">
        <v>7.0</v>
      </c>
      <c r="S56" s="2">
        <v>0.0</v>
      </c>
      <c r="T56" s="9">
        <f t="shared" si="2"/>
        <v>7</v>
      </c>
      <c r="U56" s="10">
        <f t="shared" si="3"/>
        <v>55</v>
      </c>
    </row>
    <row r="57" ht="15.75" customHeight="1">
      <c r="A57" s="1">
        <v>18.0</v>
      </c>
      <c r="C57" s="6"/>
      <c r="Q57" s="1">
        <v>8.0</v>
      </c>
      <c r="S57" s="2">
        <v>0.0</v>
      </c>
      <c r="T57" s="9">
        <f t="shared" si="2"/>
        <v>8</v>
      </c>
      <c r="U57" s="10">
        <f t="shared" si="3"/>
        <v>56</v>
      </c>
    </row>
    <row r="58" ht="15.75" customHeight="1">
      <c r="A58" s="1">
        <v>16.0</v>
      </c>
      <c r="C58" s="6"/>
      <c r="Q58" s="1">
        <v>8.0</v>
      </c>
      <c r="S58" s="2">
        <v>0.0</v>
      </c>
      <c r="T58" s="9">
        <f t="shared" si="2"/>
        <v>8</v>
      </c>
      <c r="U58" s="10">
        <f t="shared" si="3"/>
        <v>57</v>
      </c>
    </row>
    <row r="59" ht="15.75" customHeight="1">
      <c r="A59" s="1">
        <v>18.0</v>
      </c>
      <c r="C59" s="6"/>
      <c r="Q59" s="1">
        <v>8.0</v>
      </c>
      <c r="S59" s="2">
        <v>0.0</v>
      </c>
      <c r="T59" s="9">
        <f t="shared" si="2"/>
        <v>8</v>
      </c>
      <c r="U59" s="10">
        <f t="shared" si="3"/>
        <v>58</v>
      </c>
    </row>
    <row r="60" ht="15.75" customHeight="1">
      <c r="A60" s="1">
        <v>29.0</v>
      </c>
      <c r="C60" s="6"/>
      <c r="Q60" s="1">
        <v>9.0</v>
      </c>
      <c r="S60" s="2">
        <v>0.0</v>
      </c>
      <c r="T60" s="9">
        <f t="shared" si="2"/>
        <v>9</v>
      </c>
      <c r="U60" s="10">
        <f t="shared" si="3"/>
        <v>59</v>
      </c>
    </row>
    <row r="61" ht="15.75" customHeight="1">
      <c r="A61" s="1">
        <v>23.0</v>
      </c>
      <c r="C61" s="6"/>
      <c r="Q61" s="1">
        <v>9.0</v>
      </c>
      <c r="S61" s="2">
        <v>0.0</v>
      </c>
      <c r="T61" s="9">
        <f t="shared" si="2"/>
        <v>9</v>
      </c>
      <c r="U61" s="10">
        <f t="shared" si="3"/>
        <v>60</v>
      </c>
    </row>
    <row r="62" ht="15.75" customHeight="1">
      <c r="A62" s="1">
        <v>1.0</v>
      </c>
      <c r="C62" s="6"/>
      <c r="Q62" s="1">
        <v>10.0</v>
      </c>
      <c r="S62" s="1">
        <f t="shared" ref="S62:S104" si="4">VALUE(LEFT(Q62,1))</f>
        <v>1</v>
      </c>
      <c r="T62" s="9">
        <f t="shared" si="2"/>
        <v>0</v>
      </c>
      <c r="U62" s="10">
        <f t="shared" si="3"/>
        <v>1</v>
      </c>
    </row>
    <row r="63" ht="15.75" customHeight="1">
      <c r="A63" s="1">
        <v>7.0</v>
      </c>
      <c r="C63" s="6"/>
      <c r="Q63" s="1">
        <v>11.0</v>
      </c>
      <c r="S63" s="1">
        <f t="shared" si="4"/>
        <v>1</v>
      </c>
      <c r="T63" s="9">
        <f t="shared" si="2"/>
        <v>1</v>
      </c>
      <c r="U63" s="10">
        <f t="shared" si="3"/>
        <v>2</v>
      </c>
    </row>
    <row r="64" ht="15.75" customHeight="1">
      <c r="A64" s="1">
        <v>16.0</v>
      </c>
      <c r="C64" s="6"/>
      <c r="Q64" s="1">
        <v>11.0</v>
      </c>
      <c r="S64" s="1">
        <f t="shared" si="4"/>
        <v>1</v>
      </c>
      <c r="T64" s="9">
        <f t="shared" si="2"/>
        <v>1</v>
      </c>
      <c r="U64" s="10">
        <f t="shared" si="3"/>
        <v>3</v>
      </c>
    </row>
    <row r="65" ht="15.75" customHeight="1">
      <c r="A65" s="1">
        <v>18.0</v>
      </c>
      <c r="C65" s="6"/>
      <c r="Q65" s="1">
        <v>11.0</v>
      </c>
      <c r="S65" s="1">
        <f t="shared" si="4"/>
        <v>1</v>
      </c>
      <c r="T65" s="9">
        <f t="shared" si="2"/>
        <v>1</v>
      </c>
      <c r="U65" s="10">
        <f t="shared" si="3"/>
        <v>4</v>
      </c>
    </row>
    <row r="66" ht="15.75" customHeight="1">
      <c r="A66" s="1">
        <v>25.0</v>
      </c>
      <c r="C66" s="6"/>
      <c r="Q66" s="1">
        <v>12.0</v>
      </c>
      <c r="S66" s="1">
        <f t="shared" si="4"/>
        <v>1</v>
      </c>
      <c r="T66" s="9">
        <f t="shared" si="2"/>
        <v>2</v>
      </c>
      <c r="U66" s="10">
        <f t="shared" si="3"/>
        <v>5</v>
      </c>
    </row>
    <row r="67" ht="15.75" customHeight="1">
      <c r="A67" s="1">
        <v>17.0</v>
      </c>
      <c r="C67" s="6"/>
      <c r="Q67" s="1">
        <v>12.0</v>
      </c>
      <c r="S67" s="1">
        <f t="shared" si="4"/>
        <v>1</v>
      </c>
      <c r="T67" s="9">
        <f t="shared" si="2"/>
        <v>2</v>
      </c>
      <c r="U67" s="10">
        <f t="shared" si="3"/>
        <v>6</v>
      </c>
    </row>
    <row r="68" ht="15.75" customHeight="1">
      <c r="A68" s="1">
        <v>11.0</v>
      </c>
      <c r="C68" s="6"/>
      <c r="Q68" s="1">
        <v>12.0</v>
      </c>
      <c r="S68" s="1">
        <f t="shared" si="4"/>
        <v>1</v>
      </c>
      <c r="T68" s="9">
        <f t="shared" si="2"/>
        <v>2</v>
      </c>
      <c r="U68" s="10">
        <f t="shared" si="3"/>
        <v>7</v>
      </c>
    </row>
    <row r="69" ht="15.75" customHeight="1">
      <c r="A69" s="1">
        <v>18.0</v>
      </c>
      <c r="C69" s="6"/>
      <c r="Q69" s="1">
        <v>13.0</v>
      </c>
      <c r="S69" s="1">
        <f t="shared" si="4"/>
        <v>1</v>
      </c>
      <c r="T69" s="9">
        <f t="shared" si="2"/>
        <v>3</v>
      </c>
      <c r="U69" s="10">
        <f t="shared" si="3"/>
        <v>8</v>
      </c>
    </row>
    <row r="70" ht="15.75" customHeight="1">
      <c r="A70" s="1">
        <v>21.0</v>
      </c>
      <c r="C70" s="6"/>
      <c r="Q70" s="1">
        <v>14.0</v>
      </c>
      <c r="S70" s="1">
        <f t="shared" si="4"/>
        <v>1</v>
      </c>
      <c r="T70" s="9">
        <f t="shared" si="2"/>
        <v>4</v>
      </c>
      <c r="U70" s="10">
        <f t="shared" si="3"/>
        <v>9</v>
      </c>
    </row>
    <row r="71" ht="15.75" customHeight="1">
      <c r="A71" s="1">
        <v>27.0</v>
      </c>
      <c r="C71" s="6"/>
      <c r="Q71" s="1">
        <v>14.0</v>
      </c>
      <c r="S71" s="1">
        <f t="shared" si="4"/>
        <v>1</v>
      </c>
      <c r="T71" s="9">
        <f t="shared" si="2"/>
        <v>4</v>
      </c>
      <c r="U71" s="10">
        <f t="shared" si="3"/>
        <v>10</v>
      </c>
    </row>
    <row r="72" ht="15.75" customHeight="1">
      <c r="A72" s="1">
        <v>0.0</v>
      </c>
      <c r="C72" s="6"/>
      <c r="Q72" s="1">
        <v>15.0</v>
      </c>
      <c r="S72" s="1">
        <f t="shared" si="4"/>
        <v>1</v>
      </c>
      <c r="T72" s="9">
        <f t="shared" si="2"/>
        <v>5</v>
      </c>
      <c r="U72" s="10">
        <f t="shared" si="3"/>
        <v>11</v>
      </c>
    </row>
    <row r="73" ht="15.75" customHeight="1">
      <c r="A73" s="1">
        <v>24.0</v>
      </c>
      <c r="C73" s="6"/>
      <c r="Q73" s="1">
        <v>15.0</v>
      </c>
      <c r="S73" s="1">
        <f t="shared" si="4"/>
        <v>1</v>
      </c>
      <c r="T73" s="9">
        <f t="shared" si="2"/>
        <v>5</v>
      </c>
      <c r="U73" s="10">
        <f t="shared" si="3"/>
        <v>12</v>
      </c>
    </row>
    <row r="74" ht="15.75" customHeight="1">
      <c r="A74" s="1">
        <v>0.0</v>
      </c>
      <c r="C74" s="6"/>
      <c r="Q74" s="1">
        <v>15.0</v>
      </c>
      <c r="S74" s="1">
        <f t="shared" si="4"/>
        <v>1</v>
      </c>
      <c r="T74" s="9">
        <f t="shared" si="2"/>
        <v>5</v>
      </c>
      <c r="U74" s="10">
        <f t="shared" si="3"/>
        <v>13</v>
      </c>
    </row>
    <row r="75" ht="15.75" customHeight="1">
      <c r="A75" s="1">
        <v>19.0</v>
      </c>
      <c r="C75" s="6"/>
      <c r="Q75" s="1">
        <v>15.0</v>
      </c>
      <c r="S75" s="1">
        <f t="shared" si="4"/>
        <v>1</v>
      </c>
      <c r="T75" s="9">
        <f t="shared" si="2"/>
        <v>5</v>
      </c>
      <c r="U75" s="10">
        <f t="shared" si="3"/>
        <v>14</v>
      </c>
    </row>
    <row r="76" ht="15.75" customHeight="1">
      <c r="A76" s="1">
        <v>12.0</v>
      </c>
      <c r="C76" s="6"/>
      <c r="Q76" s="1">
        <v>16.0</v>
      </c>
      <c r="S76" s="1">
        <f t="shared" si="4"/>
        <v>1</v>
      </c>
      <c r="T76" s="9">
        <f t="shared" si="2"/>
        <v>6</v>
      </c>
      <c r="U76" s="10">
        <f t="shared" si="3"/>
        <v>15</v>
      </c>
    </row>
    <row r="77" ht="15.75" customHeight="1">
      <c r="A77" s="1">
        <v>26.0</v>
      </c>
      <c r="C77" s="6"/>
      <c r="Q77" s="1">
        <v>16.0</v>
      </c>
      <c r="S77" s="1">
        <f t="shared" si="4"/>
        <v>1</v>
      </c>
      <c r="T77" s="9">
        <f t="shared" si="2"/>
        <v>6</v>
      </c>
      <c r="U77" s="10">
        <f t="shared" si="3"/>
        <v>16</v>
      </c>
    </row>
    <row r="78" ht="15.75" customHeight="1">
      <c r="A78" s="1">
        <v>13.0</v>
      </c>
      <c r="C78" s="6"/>
      <c r="Q78" s="1">
        <v>16.0</v>
      </c>
      <c r="S78" s="1">
        <f t="shared" si="4"/>
        <v>1</v>
      </c>
      <c r="T78" s="9">
        <f t="shared" si="2"/>
        <v>6</v>
      </c>
      <c r="U78" s="10">
        <f t="shared" si="3"/>
        <v>17</v>
      </c>
    </row>
    <row r="79" ht="15.75" customHeight="1">
      <c r="A79" s="1">
        <v>0.0</v>
      </c>
      <c r="C79" s="6"/>
      <c r="Q79" s="1">
        <v>17.0</v>
      </c>
      <c r="S79" s="1">
        <f t="shared" si="4"/>
        <v>1</v>
      </c>
      <c r="T79" s="9">
        <f t="shared" si="2"/>
        <v>7</v>
      </c>
      <c r="U79" s="10">
        <f t="shared" si="3"/>
        <v>18</v>
      </c>
    </row>
    <row r="80" ht="15.75" customHeight="1">
      <c r="A80" s="1">
        <v>3.0</v>
      </c>
      <c r="C80" s="6"/>
      <c r="Q80" s="1">
        <v>18.0</v>
      </c>
      <c r="S80" s="1">
        <f t="shared" si="4"/>
        <v>1</v>
      </c>
      <c r="T80" s="9">
        <f t="shared" si="2"/>
        <v>8</v>
      </c>
      <c r="U80" s="10">
        <f t="shared" si="3"/>
        <v>19</v>
      </c>
    </row>
    <row r="81" ht="15.75" customHeight="1">
      <c r="A81" s="1">
        <v>0.0</v>
      </c>
      <c r="C81" s="6"/>
      <c r="Q81" s="1">
        <v>18.0</v>
      </c>
      <c r="S81" s="1">
        <f t="shared" si="4"/>
        <v>1</v>
      </c>
      <c r="T81" s="9">
        <f t="shared" si="2"/>
        <v>8</v>
      </c>
      <c r="U81" s="10">
        <f t="shared" si="3"/>
        <v>20</v>
      </c>
    </row>
    <row r="82" ht="15.75" customHeight="1">
      <c r="A82" s="1">
        <v>12.0</v>
      </c>
      <c r="C82" s="6"/>
      <c r="Q82" s="1">
        <v>18.0</v>
      </c>
      <c r="S82" s="1">
        <f t="shared" si="4"/>
        <v>1</v>
      </c>
      <c r="T82" s="9">
        <f t="shared" si="2"/>
        <v>8</v>
      </c>
      <c r="U82" s="10">
        <f t="shared" si="3"/>
        <v>21</v>
      </c>
    </row>
    <row r="83" ht="15.75" customHeight="1">
      <c r="A83" s="1">
        <v>0.0</v>
      </c>
      <c r="C83" s="6"/>
      <c r="Q83" s="1">
        <v>18.0</v>
      </c>
      <c r="S83" s="1">
        <f t="shared" si="4"/>
        <v>1</v>
      </c>
      <c r="T83" s="9">
        <f t="shared" si="2"/>
        <v>8</v>
      </c>
      <c r="U83" s="10">
        <f t="shared" si="3"/>
        <v>22</v>
      </c>
    </row>
    <row r="84" ht="15.75" customHeight="1">
      <c r="A84" s="1">
        <v>4.0</v>
      </c>
      <c r="C84" s="6"/>
      <c r="Q84" s="1">
        <v>18.0</v>
      </c>
      <c r="S84" s="1">
        <f t="shared" si="4"/>
        <v>1</v>
      </c>
      <c r="T84" s="9">
        <f t="shared" si="2"/>
        <v>8</v>
      </c>
      <c r="U84" s="10">
        <f t="shared" si="3"/>
        <v>23</v>
      </c>
    </row>
    <row r="85" ht="15.75" customHeight="1">
      <c r="A85" s="1">
        <v>0.0</v>
      </c>
      <c r="C85" s="6"/>
      <c r="Q85" s="1">
        <v>18.0</v>
      </c>
      <c r="S85" s="1">
        <f t="shared" si="4"/>
        <v>1</v>
      </c>
      <c r="T85" s="9">
        <f t="shared" si="2"/>
        <v>8</v>
      </c>
      <c r="U85" s="10">
        <f t="shared" si="3"/>
        <v>24</v>
      </c>
    </row>
    <row r="86" ht="15.75" customHeight="1">
      <c r="A86" s="1">
        <v>0.0</v>
      </c>
      <c r="C86" s="6"/>
      <c r="Q86" s="1">
        <v>18.0</v>
      </c>
      <c r="S86" s="1">
        <f t="shared" si="4"/>
        <v>1</v>
      </c>
      <c r="T86" s="9">
        <f t="shared" si="2"/>
        <v>8</v>
      </c>
      <c r="U86" s="10">
        <f t="shared" si="3"/>
        <v>25</v>
      </c>
    </row>
    <row r="87" ht="15.75" customHeight="1">
      <c r="A87" s="1">
        <v>0.0</v>
      </c>
      <c r="C87" s="6"/>
      <c r="Q87" s="1">
        <v>19.0</v>
      </c>
      <c r="S87" s="1">
        <f t="shared" si="4"/>
        <v>1</v>
      </c>
      <c r="T87" s="9">
        <f t="shared" si="2"/>
        <v>9</v>
      </c>
      <c r="U87" s="10">
        <f t="shared" si="3"/>
        <v>26</v>
      </c>
    </row>
    <row r="88" ht="15.75" customHeight="1">
      <c r="A88" s="1">
        <v>0.0</v>
      </c>
      <c r="C88" s="6"/>
      <c r="Q88" s="1">
        <v>19.0</v>
      </c>
      <c r="S88" s="1">
        <f t="shared" si="4"/>
        <v>1</v>
      </c>
      <c r="T88" s="9">
        <f t="shared" si="2"/>
        <v>9</v>
      </c>
      <c r="U88" s="10">
        <f t="shared" si="3"/>
        <v>27</v>
      </c>
    </row>
    <row r="89" ht="15.75" customHeight="1">
      <c r="A89" s="1">
        <v>0.0</v>
      </c>
      <c r="C89" s="6"/>
      <c r="Q89" s="1">
        <v>20.0</v>
      </c>
      <c r="S89" s="1">
        <f t="shared" si="4"/>
        <v>2</v>
      </c>
      <c r="T89" s="9">
        <f t="shared" si="2"/>
        <v>0</v>
      </c>
      <c r="U89" s="10">
        <f t="shared" si="3"/>
        <v>1</v>
      </c>
    </row>
    <row r="90" ht="15.75" customHeight="1">
      <c r="A90" s="1">
        <v>0.0</v>
      </c>
      <c r="C90" s="6"/>
      <c r="Q90" s="1">
        <v>21.0</v>
      </c>
      <c r="S90" s="1">
        <f t="shared" si="4"/>
        <v>2</v>
      </c>
      <c r="T90" s="9">
        <f t="shared" si="2"/>
        <v>1</v>
      </c>
      <c r="U90" s="10">
        <f t="shared" si="3"/>
        <v>2</v>
      </c>
    </row>
    <row r="91" ht="15.75" customHeight="1">
      <c r="A91" s="1">
        <v>0.0</v>
      </c>
      <c r="C91" s="6"/>
      <c r="Q91" s="1">
        <v>21.0</v>
      </c>
      <c r="S91" s="1">
        <f t="shared" si="4"/>
        <v>2</v>
      </c>
      <c r="T91" s="9">
        <f t="shared" si="2"/>
        <v>1</v>
      </c>
      <c r="U91" s="10">
        <f t="shared" si="3"/>
        <v>3</v>
      </c>
    </row>
    <row r="92" ht="15.75" customHeight="1">
      <c r="A92" s="1">
        <v>4.0</v>
      </c>
      <c r="C92" s="6"/>
      <c r="Q92" s="1">
        <v>21.0</v>
      </c>
      <c r="S92" s="1">
        <f t="shared" si="4"/>
        <v>2</v>
      </c>
      <c r="T92" s="9">
        <f t="shared" si="2"/>
        <v>1</v>
      </c>
      <c r="U92" s="10">
        <f t="shared" si="3"/>
        <v>4</v>
      </c>
    </row>
    <row r="93" ht="15.75" customHeight="1">
      <c r="A93" s="1">
        <v>0.0</v>
      </c>
      <c r="C93" s="6"/>
      <c r="Q93" s="1">
        <v>22.0</v>
      </c>
      <c r="S93" s="1">
        <f t="shared" si="4"/>
        <v>2</v>
      </c>
      <c r="T93" s="9">
        <f t="shared" si="2"/>
        <v>2</v>
      </c>
      <c r="U93" s="10">
        <f t="shared" si="3"/>
        <v>5</v>
      </c>
    </row>
    <row r="94" ht="15.75" customHeight="1">
      <c r="A94" s="1">
        <v>0.0</v>
      </c>
      <c r="C94" s="6"/>
      <c r="Q94" s="1">
        <v>23.0</v>
      </c>
      <c r="S94" s="1">
        <f t="shared" si="4"/>
        <v>2</v>
      </c>
      <c r="T94" s="9">
        <f t="shared" si="2"/>
        <v>3</v>
      </c>
      <c r="U94" s="10">
        <f t="shared" si="3"/>
        <v>6</v>
      </c>
    </row>
    <row r="95" ht="15.75" customHeight="1">
      <c r="A95" s="1">
        <v>0.0</v>
      </c>
      <c r="C95" s="6"/>
      <c r="Q95" s="1">
        <v>24.0</v>
      </c>
      <c r="S95" s="1">
        <f t="shared" si="4"/>
        <v>2</v>
      </c>
      <c r="T95" s="9">
        <f t="shared" si="2"/>
        <v>4</v>
      </c>
      <c r="U95" s="10">
        <f t="shared" si="3"/>
        <v>7</v>
      </c>
    </row>
    <row r="96" ht="15.75" customHeight="1">
      <c r="A96" s="1">
        <v>0.0</v>
      </c>
      <c r="C96" s="6"/>
      <c r="Q96" s="1">
        <v>24.0</v>
      </c>
      <c r="S96" s="1">
        <f t="shared" si="4"/>
        <v>2</v>
      </c>
      <c r="T96" s="9">
        <f t="shared" si="2"/>
        <v>4</v>
      </c>
      <c r="U96" s="10">
        <f t="shared" si="3"/>
        <v>8</v>
      </c>
    </row>
    <row r="97" ht="15.75" customHeight="1">
      <c r="A97" s="1">
        <v>1.0</v>
      </c>
      <c r="C97" s="6"/>
      <c r="Q97" s="1">
        <v>25.0</v>
      </c>
      <c r="S97" s="1">
        <f t="shared" si="4"/>
        <v>2</v>
      </c>
      <c r="T97" s="9">
        <f t="shared" si="2"/>
        <v>5</v>
      </c>
      <c r="U97" s="10">
        <f t="shared" si="3"/>
        <v>9</v>
      </c>
    </row>
    <row r="98" ht="15.75" customHeight="1">
      <c r="A98" s="1">
        <v>0.0</v>
      </c>
      <c r="C98" s="6"/>
      <c r="Q98" s="1">
        <v>26.0</v>
      </c>
      <c r="S98" s="1">
        <f t="shared" si="4"/>
        <v>2</v>
      </c>
      <c r="T98" s="9">
        <f t="shared" si="2"/>
        <v>6</v>
      </c>
      <c r="U98" s="10">
        <f t="shared" si="3"/>
        <v>10</v>
      </c>
    </row>
    <row r="99" ht="15.75" customHeight="1">
      <c r="A99" s="1">
        <v>0.0</v>
      </c>
      <c r="C99" s="6"/>
      <c r="Q99" s="1">
        <v>26.0</v>
      </c>
      <c r="S99" s="1">
        <f t="shared" si="4"/>
        <v>2</v>
      </c>
      <c r="T99" s="9">
        <f t="shared" si="2"/>
        <v>6</v>
      </c>
      <c r="U99" s="10">
        <f t="shared" si="3"/>
        <v>11</v>
      </c>
    </row>
    <row r="100" ht="15.75" customHeight="1">
      <c r="A100" s="1">
        <v>0.0</v>
      </c>
      <c r="C100" s="6"/>
      <c r="Q100" s="1">
        <v>26.0</v>
      </c>
      <c r="S100" s="1">
        <f t="shared" si="4"/>
        <v>2</v>
      </c>
      <c r="T100" s="9">
        <f t="shared" si="2"/>
        <v>6</v>
      </c>
      <c r="U100" s="10">
        <f t="shared" si="3"/>
        <v>12</v>
      </c>
    </row>
    <row r="101" ht="15.75" customHeight="1">
      <c r="A101" s="1">
        <v>0.0</v>
      </c>
      <c r="C101" s="6"/>
      <c r="Q101" s="1">
        <v>27.0</v>
      </c>
      <c r="S101" s="1">
        <f t="shared" si="4"/>
        <v>2</v>
      </c>
      <c r="T101" s="9">
        <f t="shared" si="2"/>
        <v>7</v>
      </c>
      <c r="U101" s="10">
        <f t="shared" si="3"/>
        <v>13</v>
      </c>
    </row>
    <row r="102" ht="15.75" customHeight="1">
      <c r="A102" s="1">
        <v>0.0</v>
      </c>
      <c r="C102" s="6"/>
      <c r="Q102" s="1">
        <v>27.0</v>
      </c>
      <c r="S102" s="1">
        <f t="shared" si="4"/>
        <v>2</v>
      </c>
      <c r="T102" s="9">
        <f t="shared" si="2"/>
        <v>7</v>
      </c>
      <c r="U102" s="10">
        <f t="shared" si="3"/>
        <v>14</v>
      </c>
    </row>
    <row r="103" ht="15.75" customHeight="1">
      <c r="A103" s="1">
        <v>0.0</v>
      </c>
      <c r="C103" s="6"/>
      <c r="Q103" s="1">
        <v>27.0</v>
      </c>
      <c r="S103" s="1">
        <f t="shared" si="4"/>
        <v>2</v>
      </c>
      <c r="T103" s="9">
        <f t="shared" si="2"/>
        <v>7</v>
      </c>
      <c r="U103" s="10">
        <f t="shared" si="3"/>
        <v>15</v>
      </c>
    </row>
    <row r="104" ht="15.75" customHeight="1">
      <c r="A104" s="1">
        <v>0.0</v>
      </c>
      <c r="C104" s="6"/>
      <c r="Q104" s="1">
        <v>29.0</v>
      </c>
      <c r="S104" s="1">
        <f t="shared" si="4"/>
        <v>2</v>
      </c>
      <c r="T104" s="9">
        <f t="shared" si="2"/>
        <v>9</v>
      </c>
      <c r="U104" s="10">
        <f t="shared" si="3"/>
        <v>16</v>
      </c>
    </row>
    <row r="105" ht="15.75" customHeight="1">
      <c r="C105" s="6"/>
    </row>
    <row r="106" ht="15.75" customHeight="1">
      <c r="C106" s="6"/>
    </row>
    <row r="107" ht="15.75" customHeight="1">
      <c r="C107" s="6"/>
    </row>
    <row r="108" ht="15.75" customHeight="1">
      <c r="C108" s="6"/>
    </row>
    <row r="109" ht="15.75" customHeight="1">
      <c r="C109" s="6"/>
    </row>
    <row r="110" ht="15.75" customHeight="1">
      <c r="C110" s="6"/>
    </row>
    <row r="111" ht="15.75" customHeight="1">
      <c r="C111" s="6"/>
    </row>
    <row r="112" ht="15.75" customHeight="1">
      <c r="C112" s="6"/>
    </row>
    <row r="113" ht="15.75" customHeight="1">
      <c r="C113" s="6"/>
    </row>
    <row r="114" ht="15.75" customHeight="1">
      <c r="C114" s="6"/>
    </row>
    <row r="115" ht="15.75" customHeight="1">
      <c r="C115" s="6"/>
    </row>
    <row r="116" ht="15.75" customHeight="1">
      <c r="C116" s="6"/>
    </row>
    <row r="117" ht="15.75" customHeight="1">
      <c r="C117" s="6"/>
    </row>
    <row r="118" ht="15.75" customHeight="1">
      <c r="C118" s="6"/>
    </row>
    <row r="119" ht="15.75" customHeight="1">
      <c r="C119" s="6"/>
    </row>
    <row r="120" ht="15.75" customHeight="1">
      <c r="C120" s="6"/>
    </row>
    <row r="121" ht="15.75" customHeight="1">
      <c r="C121" s="6"/>
    </row>
    <row r="122" ht="15.75" customHeight="1">
      <c r="C122" s="6"/>
    </row>
    <row r="123" ht="15.75" customHeight="1">
      <c r="C123" s="6"/>
    </row>
    <row r="124" ht="15.75" customHeight="1">
      <c r="C124" s="6"/>
    </row>
    <row r="125" ht="15.75" customHeight="1">
      <c r="C125" s="6"/>
    </row>
    <row r="126" ht="15.75" customHeight="1">
      <c r="C126" s="6"/>
    </row>
    <row r="127" ht="15.75" customHeight="1">
      <c r="C127" s="6"/>
    </row>
    <row r="128" ht="15.75" customHeight="1">
      <c r="C128" s="6"/>
    </row>
    <row r="129" ht="15.75" customHeight="1">
      <c r="C129" s="6"/>
    </row>
    <row r="130" ht="15.75" customHeight="1">
      <c r="C130" s="6"/>
    </row>
    <row r="131" ht="15.75" customHeight="1">
      <c r="C131" s="6"/>
    </row>
    <row r="132" ht="15.75" customHeight="1">
      <c r="C132" s="6"/>
    </row>
    <row r="133" ht="15.75" customHeight="1">
      <c r="C133" s="6"/>
    </row>
    <row r="134" ht="15.75" customHeight="1">
      <c r="C134" s="6"/>
    </row>
    <row r="135" ht="15.75" customHeight="1">
      <c r="C135" s="6"/>
    </row>
    <row r="136" ht="15.75" customHeight="1">
      <c r="C136" s="6"/>
    </row>
    <row r="137" ht="15.75" customHeight="1">
      <c r="C137" s="6"/>
    </row>
    <row r="138" ht="15.75" customHeight="1">
      <c r="C138" s="6"/>
    </row>
    <row r="139" ht="15.75" customHeight="1">
      <c r="C139" s="6"/>
    </row>
    <row r="140" ht="15.75" customHeight="1">
      <c r="C140" s="6"/>
    </row>
    <row r="141" ht="15.75" customHeight="1">
      <c r="C141" s="6"/>
    </row>
    <row r="142" ht="15.75" customHeight="1">
      <c r="C142" s="6"/>
    </row>
    <row r="143" ht="15.75" customHeight="1">
      <c r="C143" s="6"/>
    </row>
    <row r="144" ht="15.75" customHeight="1">
      <c r="C144" s="6"/>
    </row>
    <row r="145" ht="15.75" customHeight="1">
      <c r="C145" s="6"/>
    </row>
    <row r="146" ht="15.75" customHeight="1">
      <c r="C146" s="6"/>
    </row>
    <row r="147" ht="15.75" customHeight="1">
      <c r="C147" s="6"/>
    </row>
    <row r="148" ht="15.75" customHeight="1">
      <c r="C148" s="6"/>
    </row>
    <row r="149" ht="15.75" customHeight="1">
      <c r="C149" s="6"/>
    </row>
    <row r="150" ht="15.75" customHeight="1">
      <c r="C150" s="6"/>
    </row>
    <row r="151" ht="15.75" customHeight="1">
      <c r="C151" s="6"/>
    </row>
    <row r="152" ht="15.75" customHeight="1">
      <c r="C152" s="6"/>
    </row>
    <row r="153" ht="15.75" customHeight="1">
      <c r="C153" s="6"/>
    </row>
    <row r="154" ht="15.75" customHeight="1">
      <c r="C154" s="6"/>
    </row>
    <row r="155" ht="15.75" customHeight="1">
      <c r="C155" s="6"/>
    </row>
    <row r="156" ht="15.75" customHeight="1">
      <c r="C156" s="6"/>
    </row>
    <row r="157" ht="15.75" customHeight="1">
      <c r="C157" s="6"/>
    </row>
    <row r="158" ht="15.75" customHeight="1">
      <c r="C158" s="6"/>
    </row>
    <row r="159" ht="15.75" customHeight="1">
      <c r="C159" s="6"/>
    </row>
    <row r="160" ht="15.75" customHeight="1">
      <c r="C160" s="6"/>
    </row>
    <row r="161" ht="15.75" customHeight="1">
      <c r="C161" s="6"/>
    </row>
    <row r="162" ht="15.75" customHeight="1">
      <c r="C162" s="6"/>
    </row>
    <row r="163" ht="15.75" customHeight="1">
      <c r="C163" s="6"/>
    </row>
    <row r="164" ht="15.75" customHeight="1">
      <c r="C164" s="6"/>
    </row>
    <row r="165" ht="15.75" customHeight="1">
      <c r="C165" s="6"/>
    </row>
    <row r="166" ht="15.75" customHeight="1">
      <c r="C166" s="6"/>
    </row>
    <row r="167" ht="15.75" customHeight="1">
      <c r="C167" s="6"/>
    </row>
    <row r="168" ht="15.75" customHeight="1">
      <c r="C168" s="6"/>
    </row>
    <row r="169" ht="15.75" customHeight="1">
      <c r="C169" s="6"/>
    </row>
    <row r="170" ht="15.75" customHeight="1">
      <c r="C170" s="6"/>
    </row>
    <row r="171" ht="15.75" customHeight="1">
      <c r="C171" s="6"/>
    </row>
    <row r="172" ht="15.75" customHeight="1">
      <c r="C172" s="6"/>
    </row>
    <row r="173" ht="15.75" customHeight="1">
      <c r="C173" s="6"/>
    </row>
    <row r="174" ht="15.75" customHeight="1">
      <c r="C174" s="6"/>
    </row>
    <row r="175" ht="15.75" customHeight="1">
      <c r="C175" s="6"/>
    </row>
    <row r="176" ht="15.75" customHeight="1">
      <c r="C176" s="6"/>
    </row>
    <row r="177" ht="15.75" customHeight="1">
      <c r="C177" s="6"/>
    </row>
    <row r="178" ht="15.75" customHeight="1">
      <c r="C178" s="6"/>
    </row>
    <row r="179" ht="15.75" customHeight="1">
      <c r="C179" s="6"/>
    </row>
    <row r="180" ht="15.75" customHeight="1">
      <c r="C180" s="6"/>
    </row>
    <row r="181" ht="15.75" customHeight="1">
      <c r="C181" s="6"/>
    </row>
    <row r="182" ht="15.75" customHeight="1">
      <c r="C182" s="6"/>
    </row>
    <row r="183" ht="15.75" customHeight="1">
      <c r="C183" s="6"/>
    </row>
    <row r="184" ht="15.75" customHeight="1">
      <c r="C184" s="6"/>
    </row>
    <row r="185" ht="15.75" customHeight="1">
      <c r="C185" s="6"/>
    </row>
    <row r="186" ht="15.75" customHeight="1">
      <c r="C186" s="6"/>
    </row>
    <row r="187" ht="15.75" customHeight="1">
      <c r="C187" s="6"/>
    </row>
    <row r="188" ht="15.75" customHeight="1">
      <c r="C188" s="6"/>
    </row>
    <row r="189" ht="15.75" customHeight="1">
      <c r="C189" s="6"/>
    </row>
    <row r="190" ht="15.75" customHeight="1">
      <c r="C190" s="6"/>
    </row>
    <row r="191" ht="15.75" customHeight="1">
      <c r="C191" s="6"/>
    </row>
    <row r="192" ht="15.75" customHeight="1">
      <c r="C192" s="6"/>
    </row>
    <row r="193" ht="15.75" customHeight="1">
      <c r="C193" s="6"/>
    </row>
    <row r="194" ht="15.75" customHeight="1">
      <c r="C194" s="6"/>
    </row>
    <row r="195" ht="15.75" customHeight="1">
      <c r="C195" s="6"/>
    </row>
    <row r="196" ht="15.75" customHeight="1">
      <c r="C196" s="6"/>
    </row>
    <row r="197" ht="15.75" customHeight="1">
      <c r="C197" s="6"/>
    </row>
    <row r="198" ht="15.75" customHeight="1">
      <c r="C198" s="6"/>
    </row>
    <row r="199" ht="15.75" customHeight="1">
      <c r="C199" s="6"/>
    </row>
    <row r="200" ht="15.75" customHeight="1">
      <c r="C200" s="6"/>
    </row>
    <row r="201" ht="15.75" customHeight="1">
      <c r="C201" s="6"/>
    </row>
    <row r="202" ht="15.75" customHeight="1">
      <c r="C202" s="6"/>
    </row>
    <row r="203" ht="15.75" customHeight="1">
      <c r="C203" s="6"/>
    </row>
    <row r="204" ht="15.75" customHeight="1">
      <c r="C204" s="6"/>
    </row>
    <row r="205" ht="15.75" customHeight="1">
      <c r="C205" s="6"/>
    </row>
    <row r="206" ht="15.75" customHeight="1">
      <c r="C206" s="6"/>
    </row>
    <row r="207" ht="15.75" customHeight="1">
      <c r="C207" s="6"/>
    </row>
    <row r="208" ht="15.75" customHeight="1">
      <c r="C208" s="6"/>
    </row>
    <row r="209" ht="15.75" customHeight="1">
      <c r="C209" s="6"/>
    </row>
    <row r="210" ht="15.75" customHeight="1">
      <c r="C210" s="6"/>
    </row>
    <row r="211" ht="15.75" customHeight="1">
      <c r="C211" s="6"/>
    </row>
    <row r="212" ht="15.75" customHeight="1">
      <c r="C212" s="6"/>
    </row>
    <row r="213" ht="15.75" customHeight="1">
      <c r="C213" s="6"/>
    </row>
    <row r="214" ht="15.75" customHeight="1">
      <c r="C214" s="6"/>
    </row>
    <row r="215" ht="15.75" customHeight="1">
      <c r="C215" s="6"/>
    </row>
    <row r="216" ht="15.75" customHeight="1">
      <c r="C216" s="6"/>
    </row>
    <row r="217" ht="15.75" customHeight="1">
      <c r="C217" s="6"/>
    </row>
    <row r="218" ht="15.75" customHeight="1">
      <c r="C218" s="6"/>
    </row>
    <row r="219" ht="15.75" customHeight="1">
      <c r="C219" s="6"/>
    </row>
    <row r="220" ht="15.75" customHeight="1">
      <c r="C220" s="6"/>
    </row>
    <row r="221" ht="15.75" customHeight="1">
      <c r="C221" s="6"/>
    </row>
    <row r="222" ht="15.75" customHeight="1">
      <c r="C222" s="6"/>
    </row>
    <row r="223" ht="15.75" customHeight="1">
      <c r="C223" s="6"/>
    </row>
    <row r="224" ht="15.75" customHeight="1">
      <c r="C224" s="6"/>
    </row>
    <row r="225" ht="15.75" customHeight="1">
      <c r="C225" s="6"/>
    </row>
    <row r="226" ht="15.75" customHeight="1">
      <c r="C226" s="6"/>
    </row>
    <row r="227" ht="15.75" customHeight="1">
      <c r="C227" s="6"/>
    </row>
    <row r="228" ht="15.75" customHeight="1">
      <c r="C228" s="6"/>
    </row>
    <row r="229" ht="15.75" customHeight="1">
      <c r="C229" s="6"/>
    </row>
    <row r="230" ht="15.75" customHeight="1">
      <c r="C230" s="6"/>
    </row>
    <row r="231" ht="15.75" customHeight="1">
      <c r="C231" s="6"/>
    </row>
    <row r="232" ht="15.75" customHeight="1">
      <c r="C232" s="6"/>
    </row>
    <row r="233" ht="15.75" customHeight="1">
      <c r="C233" s="6"/>
    </row>
    <row r="234" ht="15.75" customHeight="1">
      <c r="C234" s="6"/>
    </row>
    <row r="235" ht="15.75" customHeight="1">
      <c r="C235" s="6"/>
    </row>
    <row r="236" ht="15.75" customHeight="1">
      <c r="C236" s="6"/>
    </row>
    <row r="237" ht="15.75" customHeight="1">
      <c r="C237" s="6"/>
    </row>
    <row r="238" ht="15.75" customHeight="1">
      <c r="C238" s="6"/>
    </row>
    <row r="239" ht="15.75" customHeight="1">
      <c r="C239" s="6"/>
    </row>
    <row r="240" ht="15.75" customHeight="1">
      <c r="C240" s="6"/>
    </row>
    <row r="241" ht="15.75" customHeight="1">
      <c r="C241" s="6"/>
    </row>
    <row r="242" ht="15.75" customHeight="1">
      <c r="C242" s="6"/>
    </row>
    <row r="243" ht="15.75" customHeight="1">
      <c r="C243" s="6"/>
    </row>
    <row r="244" ht="15.75" customHeight="1">
      <c r="C244" s="6"/>
    </row>
    <row r="245" ht="15.75" customHeight="1">
      <c r="C245" s="6"/>
    </row>
    <row r="246" ht="15.75" customHeight="1">
      <c r="C246" s="6"/>
    </row>
    <row r="247" ht="15.75" customHeight="1">
      <c r="C247" s="6"/>
    </row>
    <row r="248" ht="15.75" customHeight="1">
      <c r="C248" s="6"/>
    </row>
    <row r="249" ht="15.75" customHeight="1">
      <c r="C249" s="6"/>
    </row>
    <row r="250" ht="15.75" customHeight="1">
      <c r="C250" s="6"/>
    </row>
    <row r="251" ht="15.75" customHeight="1">
      <c r="C251" s="6"/>
    </row>
    <row r="252" ht="15.75" customHeight="1">
      <c r="C252" s="6"/>
    </row>
    <row r="253" ht="15.75" customHeight="1">
      <c r="C253" s="6"/>
    </row>
    <row r="254" ht="15.75" customHeight="1">
      <c r="C254" s="6"/>
    </row>
    <row r="255" ht="15.75" customHeight="1">
      <c r="C255" s="6"/>
    </row>
    <row r="256" ht="15.75" customHeight="1">
      <c r="C256" s="6"/>
    </row>
    <row r="257" ht="15.75" customHeight="1">
      <c r="C257" s="6"/>
    </row>
    <row r="258" ht="15.75" customHeight="1">
      <c r="C258" s="6"/>
    </row>
    <row r="259" ht="15.75" customHeight="1">
      <c r="C259" s="6"/>
    </row>
    <row r="260" ht="15.75" customHeight="1">
      <c r="C260" s="6"/>
    </row>
    <row r="261" ht="15.75" customHeight="1">
      <c r="C261" s="6"/>
    </row>
    <row r="262" ht="15.75" customHeight="1">
      <c r="C262" s="6"/>
    </row>
    <row r="263" ht="15.75" customHeight="1">
      <c r="C263" s="6"/>
    </row>
    <row r="264" ht="15.75" customHeight="1">
      <c r="C264" s="6"/>
    </row>
    <row r="265" ht="15.75" customHeight="1">
      <c r="C265" s="6"/>
    </row>
    <row r="266" ht="15.75" customHeight="1">
      <c r="C266" s="6"/>
    </row>
    <row r="267" ht="15.75" customHeight="1">
      <c r="C267" s="6"/>
    </row>
    <row r="268" ht="15.75" customHeight="1">
      <c r="C268" s="6"/>
    </row>
    <row r="269" ht="15.75" customHeight="1">
      <c r="C269" s="6"/>
    </row>
    <row r="270" ht="15.75" customHeight="1">
      <c r="C270" s="6"/>
    </row>
    <row r="271" ht="15.75" customHeight="1">
      <c r="C271" s="6"/>
    </row>
    <row r="272" ht="15.75" customHeight="1">
      <c r="C272" s="6"/>
    </row>
    <row r="273" ht="15.75" customHeight="1">
      <c r="C273" s="6"/>
    </row>
    <row r="274" ht="15.75" customHeight="1">
      <c r="C274" s="6"/>
    </row>
    <row r="275" ht="15.75" customHeight="1">
      <c r="C275" s="6"/>
    </row>
    <row r="276" ht="15.75" customHeight="1">
      <c r="C276" s="6"/>
    </row>
    <row r="277" ht="15.75" customHeight="1">
      <c r="C277" s="6"/>
    </row>
    <row r="278" ht="15.75" customHeight="1">
      <c r="C278" s="6"/>
    </row>
    <row r="279" ht="15.75" customHeight="1">
      <c r="C279" s="6"/>
    </row>
    <row r="280" ht="15.75" customHeight="1">
      <c r="C280" s="6"/>
    </row>
    <row r="281" ht="15.75" customHeight="1">
      <c r="C281" s="6"/>
    </row>
    <row r="282" ht="15.75" customHeight="1">
      <c r="C282" s="6"/>
    </row>
    <row r="283" ht="15.75" customHeight="1">
      <c r="C283" s="6"/>
    </row>
    <row r="284" ht="15.75" customHeight="1">
      <c r="C284" s="6"/>
    </row>
    <row r="285" ht="15.75" customHeight="1">
      <c r="C285" s="6"/>
    </row>
    <row r="286" ht="15.75" customHeight="1">
      <c r="C286" s="6"/>
    </row>
    <row r="287" ht="15.75" customHeight="1">
      <c r="C287" s="6"/>
    </row>
    <row r="288" ht="15.75" customHeight="1">
      <c r="C288" s="6"/>
    </row>
    <row r="289" ht="15.75" customHeight="1">
      <c r="C289" s="6"/>
    </row>
    <row r="290" ht="15.75" customHeight="1">
      <c r="C290" s="6"/>
    </row>
    <row r="291" ht="15.75" customHeight="1">
      <c r="C291" s="6"/>
    </row>
    <row r="292" ht="15.75" customHeight="1">
      <c r="C292" s="6"/>
    </row>
    <row r="293" ht="15.75" customHeight="1">
      <c r="C293" s="6"/>
    </row>
    <row r="294" ht="15.75" customHeight="1">
      <c r="C294" s="6"/>
    </row>
    <row r="295" ht="15.75" customHeight="1">
      <c r="C295" s="6"/>
    </row>
    <row r="296" ht="15.75" customHeight="1">
      <c r="C296" s="6"/>
    </row>
    <row r="297" ht="15.75" customHeight="1">
      <c r="C297" s="6"/>
    </row>
    <row r="298" ht="15.75" customHeight="1">
      <c r="C298" s="6"/>
    </row>
    <row r="299" ht="15.75" customHeight="1">
      <c r="C299" s="6"/>
    </row>
    <row r="300" ht="15.75" customHeight="1">
      <c r="C300" s="6"/>
    </row>
    <row r="301" ht="15.75" customHeight="1">
      <c r="C301" s="6"/>
    </row>
    <row r="302" ht="15.75" customHeight="1">
      <c r="C302" s="6"/>
    </row>
    <row r="303" ht="15.75" customHeight="1">
      <c r="C303" s="6"/>
    </row>
    <row r="304" ht="15.75" customHeight="1">
      <c r="C304" s="6"/>
    </row>
    <row r="305" ht="15.75" customHeight="1">
      <c r="C305" s="6"/>
    </row>
    <row r="306" ht="15.75" customHeight="1">
      <c r="C306" s="6"/>
    </row>
    <row r="307" ht="15.75" customHeight="1">
      <c r="C307" s="6"/>
    </row>
    <row r="308" ht="15.75" customHeight="1">
      <c r="C308" s="6"/>
    </row>
    <row r="309" ht="15.75" customHeight="1">
      <c r="C309" s="6"/>
    </row>
    <row r="310" ht="15.75" customHeight="1">
      <c r="C310" s="6"/>
    </row>
    <row r="311" ht="15.75" customHeight="1">
      <c r="C311" s="6"/>
    </row>
    <row r="312" ht="15.75" customHeight="1">
      <c r="C312" s="6"/>
    </row>
    <row r="313" ht="15.75" customHeight="1">
      <c r="C313" s="6"/>
    </row>
    <row r="314" ht="15.75" customHeight="1">
      <c r="C314" s="6"/>
    </row>
    <row r="315" ht="15.75" customHeight="1">
      <c r="C315" s="6"/>
    </row>
    <row r="316" ht="15.75" customHeight="1">
      <c r="C316" s="6"/>
    </row>
    <row r="317" ht="15.75" customHeight="1">
      <c r="C317" s="6"/>
    </row>
    <row r="318" ht="15.75" customHeight="1">
      <c r="C318" s="6"/>
    </row>
    <row r="319" ht="15.75" customHeight="1">
      <c r="C319" s="6"/>
    </row>
    <row r="320" ht="15.75" customHeight="1">
      <c r="C320" s="6"/>
    </row>
    <row r="321" ht="15.75" customHeight="1">
      <c r="C321" s="6"/>
    </row>
    <row r="322" ht="15.75" customHeight="1">
      <c r="C322" s="6"/>
    </row>
    <row r="323" ht="15.75" customHeight="1">
      <c r="C323" s="6"/>
    </row>
    <row r="324" ht="15.75" customHeight="1">
      <c r="C324" s="6"/>
    </row>
    <row r="325" ht="15.75" customHeight="1">
      <c r="C325" s="6"/>
    </row>
    <row r="326" ht="15.75" customHeight="1">
      <c r="C326" s="6"/>
    </row>
    <row r="327" ht="15.75" customHeight="1">
      <c r="C327" s="6"/>
    </row>
    <row r="328" ht="15.75" customHeight="1">
      <c r="C328" s="6"/>
    </row>
    <row r="329" ht="15.75" customHeight="1">
      <c r="C329" s="6"/>
    </row>
    <row r="330" ht="15.75" customHeight="1">
      <c r="C330" s="6"/>
    </row>
    <row r="331" ht="15.75" customHeight="1">
      <c r="C331" s="6"/>
    </row>
    <row r="332" ht="15.75" customHeight="1">
      <c r="C332" s="6"/>
    </row>
    <row r="333" ht="15.75" customHeight="1">
      <c r="C333" s="6"/>
    </row>
    <row r="334" ht="15.75" customHeight="1">
      <c r="C334" s="6"/>
    </row>
    <row r="335" ht="15.75" customHeight="1">
      <c r="C335" s="6"/>
    </row>
    <row r="336" ht="15.75" customHeight="1">
      <c r="C336" s="6"/>
    </row>
    <row r="337" ht="15.75" customHeight="1">
      <c r="C337" s="6"/>
    </row>
    <row r="338" ht="15.75" customHeight="1">
      <c r="C338" s="6"/>
    </row>
    <row r="339" ht="15.75" customHeight="1">
      <c r="C339" s="6"/>
    </row>
    <row r="340" ht="15.75" customHeight="1">
      <c r="C340" s="6"/>
    </row>
    <row r="341" ht="15.75" customHeight="1">
      <c r="C341" s="6"/>
    </row>
    <row r="342" ht="15.75" customHeight="1">
      <c r="C342" s="6"/>
    </row>
    <row r="343" ht="15.75" customHeight="1">
      <c r="C343" s="6"/>
    </row>
    <row r="344" ht="15.75" customHeight="1">
      <c r="C344" s="6"/>
    </row>
    <row r="345" ht="15.75" customHeight="1">
      <c r="C345" s="6"/>
    </row>
    <row r="346" ht="15.75" customHeight="1">
      <c r="C346" s="6"/>
    </row>
    <row r="347" ht="15.75" customHeight="1">
      <c r="C347" s="6"/>
    </row>
    <row r="348" ht="15.75" customHeight="1">
      <c r="C348" s="6"/>
    </row>
    <row r="349" ht="15.75" customHeight="1">
      <c r="C349" s="6"/>
    </row>
    <row r="350" ht="15.75" customHeight="1">
      <c r="C350" s="6"/>
    </row>
    <row r="351" ht="15.75" customHeight="1">
      <c r="C351" s="6"/>
    </row>
    <row r="352" ht="15.75" customHeight="1">
      <c r="C352" s="6"/>
    </row>
    <row r="353" ht="15.75" customHeight="1">
      <c r="C353" s="6"/>
    </row>
    <row r="354" ht="15.75" customHeight="1">
      <c r="C354" s="6"/>
    </row>
    <row r="355" ht="15.75" customHeight="1">
      <c r="C355" s="6"/>
    </row>
    <row r="356" ht="15.75" customHeight="1">
      <c r="C356" s="6"/>
    </row>
    <row r="357" ht="15.75" customHeight="1">
      <c r="C357" s="6"/>
    </row>
    <row r="358" ht="15.75" customHeight="1">
      <c r="C358" s="6"/>
    </row>
    <row r="359" ht="15.75" customHeight="1">
      <c r="C359" s="6"/>
    </row>
    <row r="360" ht="15.75" customHeight="1">
      <c r="C360" s="6"/>
    </row>
    <row r="361" ht="15.75" customHeight="1">
      <c r="C361" s="6"/>
    </row>
    <row r="362" ht="15.75" customHeight="1">
      <c r="C362" s="6"/>
    </row>
    <row r="363" ht="15.75" customHeight="1">
      <c r="C363" s="6"/>
    </row>
    <row r="364" ht="15.75" customHeight="1">
      <c r="C364" s="6"/>
    </row>
    <row r="365" ht="15.75" customHeight="1">
      <c r="C365" s="6"/>
    </row>
    <row r="366" ht="15.75" customHeight="1">
      <c r="C366" s="6"/>
    </row>
    <row r="367" ht="15.75" customHeight="1">
      <c r="C367" s="6"/>
    </row>
    <row r="368" ht="15.75" customHeight="1">
      <c r="C368" s="6"/>
    </row>
    <row r="369" ht="15.75" customHeight="1">
      <c r="C369" s="6"/>
    </row>
    <row r="370" ht="15.75" customHeight="1">
      <c r="C370" s="6"/>
    </row>
    <row r="371" ht="15.75" customHeight="1">
      <c r="C371" s="6"/>
    </row>
    <row r="372" ht="15.75" customHeight="1">
      <c r="C372" s="6"/>
    </row>
    <row r="373" ht="15.75" customHeight="1">
      <c r="C373" s="6"/>
    </row>
    <row r="374" ht="15.75" customHeight="1">
      <c r="C374" s="6"/>
    </row>
    <row r="375" ht="15.75" customHeight="1">
      <c r="C375" s="6"/>
    </row>
    <row r="376" ht="15.75" customHeight="1">
      <c r="C376" s="6"/>
    </row>
    <row r="377" ht="15.75" customHeight="1">
      <c r="C377" s="6"/>
    </row>
    <row r="378" ht="15.75" customHeight="1">
      <c r="C378" s="6"/>
    </row>
    <row r="379" ht="15.75" customHeight="1">
      <c r="C379" s="6"/>
    </row>
    <row r="380" ht="15.75" customHeight="1">
      <c r="C380" s="6"/>
    </row>
    <row r="381" ht="15.75" customHeight="1">
      <c r="C381" s="6"/>
    </row>
    <row r="382" ht="15.75" customHeight="1">
      <c r="C382" s="6"/>
    </row>
    <row r="383" ht="15.75" customHeight="1">
      <c r="C383" s="6"/>
    </row>
    <row r="384" ht="15.75" customHeight="1">
      <c r="C384" s="6"/>
    </row>
    <row r="385" ht="15.75" customHeight="1">
      <c r="C385" s="6"/>
    </row>
    <row r="386" ht="15.75" customHeight="1">
      <c r="C386" s="6"/>
    </row>
    <row r="387" ht="15.75" customHeight="1">
      <c r="C387" s="6"/>
    </row>
    <row r="388" ht="15.75" customHeight="1">
      <c r="C388" s="6"/>
    </row>
    <row r="389" ht="15.75" customHeight="1">
      <c r="C389" s="6"/>
    </row>
    <row r="390" ht="15.75" customHeight="1">
      <c r="C390" s="6"/>
    </row>
    <row r="391" ht="15.75" customHeight="1">
      <c r="C391" s="6"/>
    </row>
    <row r="392" ht="15.75" customHeight="1">
      <c r="C392" s="6"/>
    </row>
    <row r="393" ht="15.75" customHeight="1">
      <c r="C393" s="6"/>
    </row>
    <row r="394" ht="15.75" customHeight="1">
      <c r="C394" s="6"/>
    </row>
    <row r="395" ht="15.75" customHeight="1">
      <c r="C395" s="6"/>
    </row>
    <row r="396" ht="15.75" customHeight="1">
      <c r="C396" s="6"/>
    </row>
    <row r="397" ht="15.75" customHeight="1">
      <c r="C397" s="6"/>
    </row>
    <row r="398" ht="15.75" customHeight="1">
      <c r="C398" s="6"/>
    </row>
    <row r="399" ht="15.75" customHeight="1">
      <c r="C399" s="6"/>
    </row>
    <row r="400" ht="15.75" customHeight="1">
      <c r="C400" s="6"/>
    </row>
    <row r="401" ht="15.75" customHeight="1">
      <c r="C401" s="6"/>
    </row>
    <row r="402" ht="15.75" customHeight="1">
      <c r="C402" s="6"/>
    </row>
    <row r="403" ht="15.75" customHeight="1">
      <c r="C403" s="6"/>
    </row>
    <row r="404" ht="15.75" customHeight="1">
      <c r="C404" s="6"/>
    </row>
    <row r="405" ht="15.75" customHeight="1">
      <c r="C405" s="6"/>
    </row>
    <row r="406" ht="15.75" customHeight="1">
      <c r="C406" s="6"/>
    </row>
    <row r="407" ht="15.75" customHeight="1">
      <c r="C407" s="6"/>
    </row>
    <row r="408" ht="15.75" customHeight="1">
      <c r="C408" s="6"/>
    </row>
    <row r="409" ht="15.75" customHeight="1">
      <c r="C409" s="6"/>
    </row>
    <row r="410" ht="15.75" customHeight="1">
      <c r="C410" s="6"/>
    </row>
    <row r="411" ht="15.75" customHeight="1">
      <c r="C411" s="6"/>
    </row>
    <row r="412" ht="15.75" customHeight="1">
      <c r="C412" s="6"/>
    </row>
    <row r="413" ht="15.75" customHeight="1">
      <c r="C413" s="6"/>
    </row>
    <row r="414" ht="15.75" customHeight="1">
      <c r="C414" s="6"/>
    </row>
    <row r="415" ht="15.75" customHeight="1">
      <c r="C415" s="6"/>
    </row>
    <row r="416" ht="15.75" customHeight="1">
      <c r="C416" s="6"/>
    </row>
    <row r="417" ht="15.75" customHeight="1">
      <c r="C417" s="6"/>
    </row>
    <row r="418" ht="15.75" customHeight="1">
      <c r="C418" s="6"/>
    </row>
    <row r="419" ht="15.75" customHeight="1">
      <c r="C419" s="6"/>
    </row>
    <row r="420" ht="15.75" customHeight="1">
      <c r="C420" s="6"/>
    </row>
    <row r="421" ht="15.75" customHeight="1">
      <c r="C421" s="6"/>
    </row>
    <row r="422" ht="15.75" customHeight="1">
      <c r="C422" s="6"/>
    </row>
    <row r="423" ht="15.75" customHeight="1">
      <c r="C423" s="6"/>
    </row>
    <row r="424" ht="15.75" customHeight="1">
      <c r="C424" s="6"/>
    </row>
    <row r="425" ht="15.75" customHeight="1">
      <c r="C425" s="6"/>
    </row>
    <row r="426" ht="15.75" customHeight="1">
      <c r="C426" s="6"/>
    </row>
    <row r="427" ht="15.75" customHeight="1">
      <c r="C427" s="6"/>
    </row>
    <row r="428" ht="15.75" customHeight="1">
      <c r="C428" s="6"/>
    </row>
    <row r="429" ht="15.75" customHeight="1">
      <c r="C429" s="6"/>
    </row>
    <row r="430" ht="15.75" customHeight="1">
      <c r="C430" s="6"/>
    </row>
    <row r="431" ht="15.75" customHeight="1">
      <c r="C431" s="6"/>
    </row>
    <row r="432" ht="15.75" customHeight="1">
      <c r="C432" s="6"/>
    </row>
    <row r="433" ht="15.75" customHeight="1">
      <c r="C433" s="6"/>
    </row>
    <row r="434" ht="15.75" customHeight="1">
      <c r="C434" s="6"/>
    </row>
    <row r="435" ht="15.75" customHeight="1">
      <c r="C435" s="6"/>
    </row>
    <row r="436" ht="15.75" customHeight="1">
      <c r="C436" s="6"/>
    </row>
    <row r="437" ht="15.75" customHeight="1">
      <c r="C437" s="6"/>
    </row>
    <row r="438" ht="15.75" customHeight="1">
      <c r="C438" s="6"/>
    </row>
    <row r="439" ht="15.75" customHeight="1">
      <c r="C439" s="6"/>
    </row>
    <row r="440" ht="15.75" customHeight="1">
      <c r="C440" s="6"/>
    </row>
    <row r="441" ht="15.75" customHeight="1">
      <c r="C441" s="6"/>
    </row>
    <row r="442" ht="15.75" customHeight="1">
      <c r="C442" s="6"/>
    </row>
    <row r="443" ht="15.75" customHeight="1">
      <c r="C443" s="6"/>
    </row>
    <row r="444" ht="15.75" customHeight="1">
      <c r="C444" s="6"/>
    </row>
    <row r="445" ht="15.75" customHeight="1">
      <c r="C445" s="6"/>
    </row>
    <row r="446" ht="15.75" customHeight="1">
      <c r="C446" s="6"/>
    </row>
    <row r="447" ht="15.75" customHeight="1">
      <c r="C447" s="6"/>
    </row>
    <row r="448" ht="15.75" customHeight="1">
      <c r="C448" s="6"/>
    </row>
    <row r="449" ht="15.75" customHeight="1">
      <c r="C449" s="6"/>
    </row>
    <row r="450" ht="15.75" customHeight="1">
      <c r="C450" s="6"/>
    </row>
    <row r="451" ht="15.75" customHeight="1">
      <c r="C451" s="6"/>
    </row>
    <row r="452" ht="15.75" customHeight="1">
      <c r="C452" s="6"/>
    </row>
    <row r="453" ht="15.75" customHeight="1">
      <c r="C453" s="6"/>
    </row>
    <row r="454" ht="15.75" customHeight="1">
      <c r="C454" s="6"/>
    </row>
    <row r="455" ht="15.75" customHeight="1">
      <c r="C455" s="6"/>
    </row>
    <row r="456" ht="15.75" customHeight="1">
      <c r="C456" s="6"/>
    </row>
    <row r="457" ht="15.75" customHeight="1">
      <c r="C457" s="6"/>
    </row>
    <row r="458" ht="15.75" customHeight="1">
      <c r="C458" s="6"/>
    </row>
    <row r="459" ht="15.75" customHeight="1">
      <c r="C459" s="6"/>
    </row>
    <row r="460" ht="15.75" customHeight="1">
      <c r="C460" s="6"/>
    </row>
    <row r="461" ht="15.75" customHeight="1">
      <c r="C461" s="6"/>
    </row>
    <row r="462" ht="15.75" customHeight="1">
      <c r="C462" s="6"/>
    </row>
    <row r="463" ht="15.75" customHeight="1">
      <c r="C463" s="6"/>
    </row>
    <row r="464" ht="15.75" customHeight="1">
      <c r="C464" s="6"/>
    </row>
    <row r="465" ht="15.75" customHeight="1">
      <c r="C465" s="6"/>
    </row>
    <row r="466" ht="15.75" customHeight="1">
      <c r="C466" s="6"/>
    </row>
    <row r="467" ht="15.75" customHeight="1">
      <c r="C467" s="6"/>
    </row>
    <row r="468" ht="15.75" customHeight="1">
      <c r="C468" s="6"/>
    </row>
    <row r="469" ht="15.75" customHeight="1">
      <c r="C469" s="6"/>
    </row>
    <row r="470" ht="15.75" customHeight="1">
      <c r="C470" s="6"/>
    </row>
    <row r="471" ht="15.75" customHeight="1">
      <c r="C471" s="6"/>
    </row>
    <row r="472" ht="15.75" customHeight="1">
      <c r="C472" s="6"/>
    </row>
    <row r="473" ht="15.75" customHeight="1">
      <c r="C473" s="6"/>
    </row>
    <row r="474" ht="15.75" customHeight="1">
      <c r="C474" s="6"/>
    </row>
    <row r="475" ht="15.75" customHeight="1">
      <c r="C475" s="6"/>
    </row>
    <row r="476" ht="15.75" customHeight="1">
      <c r="C476" s="6"/>
    </row>
    <row r="477" ht="15.75" customHeight="1">
      <c r="C477" s="6"/>
    </row>
    <row r="478" ht="15.75" customHeight="1">
      <c r="C478" s="6"/>
    </row>
    <row r="479" ht="15.75" customHeight="1">
      <c r="C479" s="6"/>
    </row>
    <row r="480" ht="15.75" customHeight="1">
      <c r="C480" s="6"/>
    </row>
    <row r="481" ht="15.75" customHeight="1">
      <c r="C481" s="6"/>
    </row>
    <row r="482" ht="15.75" customHeight="1">
      <c r="C482" s="6"/>
    </row>
    <row r="483" ht="15.75" customHeight="1">
      <c r="C483" s="6"/>
    </row>
    <row r="484" ht="15.75" customHeight="1">
      <c r="C484" s="6"/>
    </row>
    <row r="485" ht="15.75" customHeight="1">
      <c r="C485" s="6"/>
    </row>
    <row r="486" ht="15.75" customHeight="1">
      <c r="C486" s="6"/>
    </row>
    <row r="487" ht="15.75" customHeight="1">
      <c r="C487" s="6"/>
    </row>
    <row r="488" ht="15.75" customHeight="1">
      <c r="C488" s="6"/>
    </row>
    <row r="489" ht="15.75" customHeight="1">
      <c r="C489" s="6"/>
    </row>
    <row r="490" ht="15.75" customHeight="1">
      <c r="C490" s="6"/>
    </row>
    <row r="491" ht="15.75" customHeight="1">
      <c r="C491" s="6"/>
    </row>
    <row r="492" ht="15.75" customHeight="1">
      <c r="C492" s="6"/>
    </row>
    <row r="493" ht="15.75" customHeight="1">
      <c r="C493" s="6"/>
    </row>
    <row r="494" ht="15.75" customHeight="1">
      <c r="C494" s="6"/>
    </row>
    <row r="495" ht="15.75" customHeight="1">
      <c r="C495" s="6"/>
    </row>
    <row r="496" ht="15.75" customHeight="1">
      <c r="C496" s="6"/>
    </row>
    <row r="497" ht="15.75" customHeight="1">
      <c r="C497" s="6"/>
    </row>
    <row r="498" ht="15.75" customHeight="1">
      <c r="C498" s="6"/>
    </row>
    <row r="499" ht="15.75" customHeight="1">
      <c r="C499" s="6"/>
    </row>
    <row r="500" ht="15.75" customHeight="1">
      <c r="C500" s="6"/>
    </row>
    <row r="501" ht="15.75" customHeight="1">
      <c r="C501" s="6"/>
    </row>
    <row r="502" ht="15.75" customHeight="1">
      <c r="C502" s="6"/>
    </row>
    <row r="503" ht="15.75" customHeight="1">
      <c r="C503" s="6"/>
    </row>
    <row r="504" ht="15.75" customHeight="1">
      <c r="C504" s="6"/>
    </row>
    <row r="505" ht="15.75" customHeight="1">
      <c r="C505" s="6"/>
    </row>
    <row r="506" ht="15.75" customHeight="1">
      <c r="C506" s="6"/>
    </row>
    <row r="507" ht="15.75" customHeight="1">
      <c r="C507" s="6"/>
    </row>
    <row r="508" ht="15.75" customHeight="1">
      <c r="C508" s="6"/>
    </row>
    <row r="509" ht="15.75" customHeight="1">
      <c r="C509" s="6"/>
    </row>
    <row r="510" ht="15.75" customHeight="1">
      <c r="C510" s="6"/>
    </row>
    <row r="511" ht="15.75" customHeight="1">
      <c r="C511" s="6"/>
    </row>
    <row r="512" ht="15.75" customHeight="1">
      <c r="C512" s="6"/>
    </row>
    <row r="513" ht="15.75" customHeight="1">
      <c r="C513" s="6"/>
    </row>
    <row r="514" ht="15.75" customHeight="1">
      <c r="C514" s="6"/>
    </row>
    <row r="515" ht="15.75" customHeight="1">
      <c r="C515" s="6"/>
    </row>
    <row r="516" ht="15.75" customHeight="1">
      <c r="C516" s="6"/>
    </row>
    <row r="517" ht="15.75" customHeight="1">
      <c r="C517" s="6"/>
    </row>
    <row r="518" ht="15.75" customHeight="1">
      <c r="C518" s="6"/>
    </row>
    <row r="519" ht="15.75" customHeight="1">
      <c r="C519" s="6"/>
    </row>
    <row r="520" ht="15.75" customHeight="1">
      <c r="C520" s="6"/>
    </row>
    <row r="521" ht="15.75" customHeight="1">
      <c r="C521" s="6"/>
    </row>
    <row r="522" ht="15.75" customHeight="1">
      <c r="C522" s="6"/>
    </row>
    <row r="523" ht="15.75" customHeight="1">
      <c r="C523" s="6"/>
    </row>
    <row r="524" ht="15.75" customHeight="1">
      <c r="C524" s="6"/>
    </row>
    <row r="525" ht="15.75" customHeight="1">
      <c r="C525" s="6"/>
    </row>
    <row r="526" ht="15.75" customHeight="1">
      <c r="C526" s="6"/>
    </row>
    <row r="527" ht="15.75" customHeight="1">
      <c r="C527" s="6"/>
    </row>
    <row r="528" ht="15.75" customHeight="1">
      <c r="C528" s="6"/>
    </row>
    <row r="529" ht="15.75" customHeight="1">
      <c r="C529" s="6"/>
    </row>
    <row r="530" ht="15.75" customHeight="1">
      <c r="C530" s="6"/>
    </row>
    <row r="531" ht="15.75" customHeight="1">
      <c r="C531" s="6"/>
    </row>
    <row r="532" ht="15.75" customHeight="1">
      <c r="C532" s="6"/>
    </row>
    <row r="533" ht="15.75" customHeight="1">
      <c r="C533" s="6"/>
    </row>
    <row r="534" ht="15.75" customHeight="1">
      <c r="C534" s="6"/>
    </row>
    <row r="535" ht="15.75" customHeight="1">
      <c r="C535" s="6"/>
    </row>
    <row r="536" ht="15.75" customHeight="1">
      <c r="C536" s="6"/>
    </row>
    <row r="537" ht="15.75" customHeight="1">
      <c r="C537" s="6"/>
    </row>
    <row r="538" ht="15.75" customHeight="1">
      <c r="C538" s="6"/>
    </row>
    <row r="539" ht="15.75" customHeight="1">
      <c r="C539" s="6"/>
    </row>
    <row r="540" ht="15.75" customHeight="1">
      <c r="C540" s="6"/>
    </row>
    <row r="541" ht="15.75" customHeight="1">
      <c r="C541" s="6"/>
    </row>
    <row r="542" ht="15.75" customHeight="1">
      <c r="C542" s="6"/>
    </row>
    <row r="543" ht="15.75" customHeight="1">
      <c r="C543" s="6"/>
    </row>
    <row r="544" ht="15.75" customHeight="1">
      <c r="C544" s="6"/>
    </row>
    <row r="545" ht="15.75" customHeight="1">
      <c r="C545" s="6"/>
    </row>
    <row r="546" ht="15.75" customHeight="1">
      <c r="C546" s="6"/>
    </row>
    <row r="547" ht="15.75" customHeight="1">
      <c r="C547" s="6"/>
    </row>
    <row r="548" ht="15.75" customHeight="1">
      <c r="C548" s="6"/>
    </row>
    <row r="549" ht="15.75" customHeight="1">
      <c r="C549" s="6"/>
    </row>
    <row r="550" ht="15.75" customHeight="1">
      <c r="C550" s="6"/>
    </row>
    <row r="551" ht="15.75" customHeight="1">
      <c r="C551" s="6"/>
    </row>
    <row r="552" ht="15.75" customHeight="1">
      <c r="C552" s="6"/>
    </row>
    <row r="553" ht="15.75" customHeight="1">
      <c r="C553" s="6"/>
    </row>
    <row r="554" ht="15.75" customHeight="1">
      <c r="C554" s="6"/>
    </row>
    <row r="555" ht="15.75" customHeight="1">
      <c r="C555" s="6"/>
    </row>
    <row r="556" ht="15.75" customHeight="1">
      <c r="C556" s="6"/>
    </row>
    <row r="557" ht="15.75" customHeight="1">
      <c r="C557" s="6"/>
    </row>
    <row r="558" ht="15.75" customHeight="1">
      <c r="C558" s="6"/>
    </row>
    <row r="559" ht="15.75" customHeight="1">
      <c r="C559" s="6"/>
    </row>
    <row r="560" ht="15.75" customHeight="1">
      <c r="C560" s="6"/>
    </row>
    <row r="561" ht="15.75" customHeight="1">
      <c r="C561" s="6"/>
    </row>
    <row r="562" ht="15.75" customHeight="1">
      <c r="C562" s="6"/>
    </row>
    <row r="563" ht="15.75" customHeight="1">
      <c r="C563" s="6"/>
    </row>
    <row r="564" ht="15.75" customHeight="1">
      <c r="C564" s="6"/>
    </row>
    <row r="565" ht="15.75" customHeight="1">
      <c r="C565" s="6"/>
    </row>
    <row r="566" ht="15.75" customHeight="1">
      <c r="C566" s="6"/>
    </row>
    <row r="567" ht="15.75" customHeight="1">
      <c r="C567" s="6"/>
    </row>
    <row r="568" ht="15.75" customHeight="1">
      <c r="C568" s="6"/>
    </row>
    <row r="569" ht="15.75" customHeight="1">
      <c r="C569" s="6"/>
    </row>
    <row r="570" ht="15.75" customHeight="1">
      <c r="C570" s="6"/>
    </row>
    <row r="571" ht="15.75" customHeight="1">
      <c r="C571" s="6"/>
    </row>
    <row r="572" ht="15.75" customHeight="1">
      <c r="C572" s="6"/>
    </row>
    <row r="573" ht="15.75" customHeight="1">
      <c r="C573" s="6"/>
    </row>
    <row r="574" ht="15.75" customHeight="1">
      <c r="C574" s="6"/>
    </row>
    <row r="575" ht="15.75" customHeight="1">
      <c r="C575" s="6"/>
    </row>
    <row r="576" ht="15.75" customHeight="1">
      <c r="C576" s="6"/>
    </row>
    <row r="577" ht="15.75" customHeight="1">
      <c r="C577" s="6"/>
    </row>
    <row r="578" ht="15.75" customHeight="1">
      <c r="C578" s="6"/>
    </row>
    <row r="579" ht="15.75" customHeight="1">
      <c r="C579" s="6"/>
    </row>
    <row r="580" ht="15.75" customHeight="1">
      <c r="C580" s="6"/>
    </row>
    <row r="581" ht="15.75" customHeight="1">
      <c r="C581" s="6"/>
    </row>
    <row r="582" ht="15.75" customHeight="1">
      <c r="C582" s="6"/>
    </row>
    <row r="583" ht="15.75" customHeight="1">
      <c r="C583" s="6"/>
    </row>
    <row r="584" ht="15.75" customHeight="1">
      <c r="C584" s="6"/>
    </row>
    <row r="585" ht="15.75" customHeight="1">
      <c r="C585" s="6"/>
    </row>
    <row r="586" ht="15.75" customHeight="1">
      <c r="C586" s="6"/>
    </row>
    <row r="587" ht="15.75" customHeight="1">
      <c r="C587" s="6"/>
    </row>
    <row r="588" ht="15.75" customHeight="1">
      <c r="C588" s="6"/>
    </row>
    <row r="589" ht="15.75" customHeight="1">
      <c r="C589" s="6"/>
    </row>
    <row r="590" ht="15.75" customHeight="1">
      <c r="C590" s="6"/>
    </row>
    <row r="591" ht="15.75" customHeight="1">
      <c r="C591" s="6"/>
    </row>
    <row r="592" ht="15.75" customHeight="1">
      <c r="C592" s="6"/>
    </row>
    <row r="593" ht="15.75" customHeight="1">
      <c r="C593" s="6"/>
    </row>
    <row r="594" ht="15.75" customHeight="1">
      <c r="C594" s="6"/>
    </row>
    <row r="595" ht="15.75" customHeight="1">
      <c r="C595" s="6"/>
    </row>
    <row r="596" ht="15.75" customHeight="1">
      <c r="C596" s="6"/>
    </row>
    <row r="597" ht="15.75" customHeight="1">
      <c r="C597" s="6"/>
    </row>
    <row r="598" ht="15.75" customHeight="1">
      <c r="C598" s="6"/>
    </row>
    <row r="599" ht="15.75" customHeight="1">
      <c r="C599" s="6"/>
    </row>
    <row r="600" ht="15.75" customHeight="1">
      <c r="C600" s="6"/>
    </row>
    <row r="601" ht="15.75" customHeight="1">
      <c r="C601" s="6"/>
    </row>
    <row r="602" ht="15.75" customHeight="1">
      <c r="C602" s="6"/>
    </row>
    <row r="603" ht="15.75" customHeight="1">
      <c r="C603" s="6"/>
    </row>
    <row r="604" ht="15.75" customHeight="1">
      <c r="C604" s="6"/>
    </row>
    <row r="605" ht="15.75" customHeight="1">
      <c r="C605" s="6"/>
    </row>
    <row r="606" ht="15.75" customHeight="1">
      <c r="C606" s="6"/>
    </row>
    <row r="607" ht="15.75" customHeight="1">
      <c r="C607" s="6"/>
    </row>
    <row r="608" ht="15.75" customHeight="1">
      <c r="C608" s="6"/>
    </row>
    <row r="609" ht="15.75" customHeight="1">
      <c r="C609" s="6"/>
    </row>
    <row r="610" ht="15.75" customHeight="1">
      <c r="C610" s="6"/>
    </row>
    <row r="611" ht="15.75" customHeight="1">
      <c r="C611" s="6"/>
    </row>
    <row r="612" ht="15.75" customHeight="1">
      <c r="C612" s="6"/>
    </row>
    <row r="613" ht="15.75" customHeight="1">
      <c r="C613" s="6"/>
    </row>
    <row r="614" ht="15.75" customHeight="1">
      <c r="C614" s="6"/>
    </row>
    <row r="615" ht="15.75" customHeight="1">
      <c r="C615" s="6"/>
    </row>
    <row r="616" ht="15.75" customHeight="1">
      <c r="C616" s="6"/>
    </row>
    <row r="617" ht="15.75" customHeight="1">
      <c r="C617" s="6"/>
    </row>
    <row r="618" ht="15.75" customHeight="1">
      <c r="C618" s="6"/>
    </row>
    <row r="619" ht="15.75" customHeight="1">
      <c r="C619" s="6"/>
    </row>
    <row r="620" ht="15.75" customHeight="1">
      <c r="C620" s="6"/>
    </row>
    <row r="621" ht="15.75" customHeight="1">
      <c r="C621" s="6"/>
    </row>
    <row r="622" ht="15.75" customHeight="1">
      <c r="C622" s="6"/>
    </row>
    <row r="623" ht="15.75" customHeight="1">
      <c r="C623" s="6"/>
    </row>
    <row r="624" ht="15.75" customHeight="1">
      <c r="C624" s="6"/>
    </row>
    <row r="625" ht="15.75" customHeight="1">
      <c r="C625" s="6"/>
    </row>
    <row r="626" ht="15.75" customHeight="1">
      <c r="C626" s="6"/>
    </row>
    <row r="627" ht="15.75" customHeight="1">
      <c r="C627" s="6"/>
    </row>
    <row r="628" ht="15.75" customHeight="1">
      <c r="C628" s="6"/>
    </row>
    <row r="629" ht="15.75" customHeight="1">
      <c r="C629" s="6"/>
    </row>
    <row r="630" ht="15.75" customHeight="1">
      <c r="C630" s="6"/>
    </row>
    <row r="631" ht="15.75" customHeight="1">
      <c r="C631" s="6"/>
    </row>
    <row r="632" ht="15.75" customHeight="1">
      <c r="C632" s="6"/>
    </row>
    <row r="633" ht="15.75" customHeight="1">
      <c r="C633" s="6"/>
    </row>
    <row r="634" ht="15.75" customHeight="1">
      <c r="C634" s="6"/>
    </row>
    <row r="635" ht="15.75" customHeight="1">
      <c r="C635" s="6"/>
    </row>
    <row r="636" ht="15.75" customHeight="1">
      <c r="C636" s="6"/>
    </row>
    <row r="637" ht="15.75" customHeight="1">
      <c r="C637" s="6"/>
    </row>
    <row r="638" ht="15.75" customHeight="1">
      <c r="C638" s="6"/>
    </row>
    <row r="639" ht="15.75" customHeight="1">
      <c r="C639" s="6"/>
    </row>
    <row r="640" ht="15.75" customHeight="1">
      <c r="C640" s="6"/>
    </row>
    <row r="641" ht="15.75" customHeight="1">
      <c r="C641" s="6"/>
    </row>
    <row r="642" ht="15.75" customHeight="1">
      <c r="C642" s="6"/>
    </row>
    <row r="643" ht="15.75" customHeight="1">
      <c r="C643" s="6"/>
    </row>
    <row r="644" ht="15.75" customHeight="1">
      <c r="C644" s="6"/>
    </row>
    <row r="645" ht="15.75" customHeight="1">
      <c r="C645" s="6"/>
    </row>
    <row r="646" ht="15.75" customHeight="1">
      <c r="C646" s="6"/>
    </row>
    <row r="647" ht="15.75" customHeight="1">
      <c r="C647" s="6"/>
    </row>
    <row r="648" ht="15.75" customHeight="1">
      <c r="C648" s="6"/>
    </row>
    <row r="649" ht="15.75" customHeight="1">
      <c r="C649" s="6"/>
    </row>
    <row r="650" ht="15.75" customHeight="1">
      <c r="C650" s="6"/>
    </row>
    <row r="651" ht="15.75" customHeight="1">
      <c r="C651" s="6"/>
    </row>
    <row r="652" ht="15.75" customHeight="1">
      <c r="C652" s="6"/>
    </row>
    <row r="653" ht="15.75" customHeight="1">
      <c r="C653" s="6"/>
    </row>
    <row r="654" ht="15.75" customHeight="1">
      <c r="C654" s="6"/>
    </row>
    <row r="655" ht="15.75" customHeight="1">
      <c r="C655" s="6"/>
    </row>
    <row r="656" ht="15.75" customHeight="1">
      <c r="C656" s="6"/>
    </row>
    <row r="657" ht="15.75" customHeight="1">
      <c r="C657" s="6"/>
    </row>
    <row r="658" ht="15.75" customHeight="1">
      <c r="C658" s="6"/>
    </row>
    <row r="659" ht="15.75" customHeight="1">
      <c r="C659" s="6"/>
    </row>
    <row r="660" ht="15.75" customHeight="1">
      <c r="C660" s="6"/>
    </row>
    <row r="661" ht="15.75" customHeight="1">
      <c r="C661" s="6"/>
    </row>
    <row r="662" ht="15.75" customHeight="1">
      <c r="C662" s="6"/>
    </row>
    <row r="663" ht="15.75" customHeight="1">
      <c r="C663" s="6"/>
    </row>
    <row r="664" ht="15.75" customHeight="1">
      <c r="C664" s="6"/>
    </row>
    <row r="665" ht="15.75" customHeight="1">
      <c r="C665" s="6"/>
    </row>
    <row r="666" ht="15.75" customHeight="1">
      <c r="C666" s="6"/>
    </row>
    <row r="667" ht="15.75" customHeight="1">
      <c r="C667" s="6"/>
    </row>
    <row r="668" ht="15.75" customHeight="1">
      <c r="C668" s="6"/>
    </row>
    <row r="669" ht="15.75" customHeight="1">
      <c r="C669" s="6"/>
    </row>
    <row r="670" ht="15.75" customHeight="1">
      <c r="C670" s="6"/>
    </row>
    <row r="671" ht="15.75" customHeight="1">
      <c r="C671" s="6"/>
    </row>
    <row r="672" ht="15.75" customHeight="1">
      <c r="C672" s="6"/>
    </row>
    <row r="673" ht="15.75" customHeight="1">
      <c r="C673" s="6"/>
    </row>
    <row r="674" ht="15.75" customHeight="1">
      <c r="C674" s="6"/>
    </row>
    <row r="675" ht="15.75" customHeight="1">
      <c r="C675" s="6"/>
    </row>
    <row r="676" ht="15.75" customHeight="1">
      <c r="C676" s="6"/>
    </row>
    <row r="677" ht="15.75" customHeight="1">
      <c r="C677" s="6"/>
    </row>
    <row r="678" ht="15.75" customHeight="1">
      <c r="C678" s="6"/>
    </row>
    <row r="679" ht="15.75" customHeight="1">
      <c r="C679" s="6"/>
    </row>
    <row r="680" ht="15.75" customHeight="1">
      <c r="C680" s="6"/>
    </row>
    <row r="681" ht="15.75" customHeight="1">
      <c r="C681" s="6"/>
    </row>
    <row r="682" ht="15.75" customHeight="1">
      <c r="C682" s="6"/>
    </row>
    <row r="683" ht="15.75" customHeight="1">
      <c r="C683" s="6"/>
    </row>
    <row r="684" ht="15.75" customHeight="1">
      <c r="C684" s="6"/>
    </row>
    <row r="685" ht="15.75" customHeight="1">
      <c r="C685" s="6"/>
    </row>
    <row r="686" ht="15.75" customHeight="1">
      <c r="C686" s="6"/>
    </row>
    <row r="687" ht="15.75" customHeight="1">
      <c r="C687" s="6"/>
    </row>
    <row r="688" ht="15.75" customHeight="1">
      <c r="C688" s="6"/>
    </row>
    <row r="689" ht="15.75" customHeight="1">
      <c r="C689" s="6"/>
    </row>
    <row r="690" ht="15.75" customHeight="1">
      <c r="C690" s="6"/>
    </row>
    <row r="691" ht="15.75" customHeight="1">
      <c r="C691" s="6"/>
    </row>
    <row r="692" ht="15.75" customHeight="1">
      <c r="C692" s="6"/>
    </row>
    <row r="693" ht="15.75" customHeight="1">
      <c r="C693" s="6"/>
    </row>
    <row r="694" ht="15.75" customHeight="1">
      <c r="C694" s="6"/>
    </row>
    <row r="695" ht="15.75" customHeight="1">
      <c r="C695" s="6"/>
    </row>
    <row r="696" ht="15.75" customHeight="1">
      <c r="C696" s="6"/>
    </row>
    <row r="697" ht="15.75" customHeight="1">
      <c r="C697" s="6"/>
    </row>
    <row r="698" ht="15.75" customHeight="1">
      <c r="C698" s="6"/>
    </row>
    <row r="699" ht="15.75" customHeight="1">
      <c r="C699" s="6"/>
    </row>
    <row r="700" ht="15.75" customHeight="1">
      <c r="C700" s="6"/>
    </row>
    <row r="701" ht="15.75" customHeight="1">
      <c r="C701" s="6"/>
    </row>
    <row r="702" ht="15.75" customHeight="1">
      <c r="C702" s="6"/>
    </row>
    <row r="703" ht="15.75" customHeight="1">
      <c r="C703" s="6"/>
    </row>
    <row r="704" ht="15.75" customHeight="1">
      <c r="C704" s="6"/>
    </row>
    <row r="705" ht="15.75" customHeight="1">
      <c r="C705" s="6"/>
    </row>
    <row r="706" ht="15.75" customHeight="1">
      <c r="C706" s="6"/>
    </row>
    <row r="707" ht="15.75" customHeight="1">
      <c r="C707" s="6"/>
    </row>
    <row r="708" ht="15.75" customHeight="1">
      <c r="C708" s="6"/>
    </row>
    <row r="709" ht="15.75" customHeight="1">
      <c r="C709" s="6"/>
    </row>
    <row r="710" ht="15.75" customHeight="1">
      <c r="C710" s="6"/>
    </row>
    <row r="711" ht="15.75" customHeight="1">
      <c r="C711" s="6"/>
    </row>
    <row r="712" ht="15.75" customHeight="1">
      <c r="C712" s="6"/>
    </row>
    <row r="713" ht="15.75" customHeight="1">
      <c r="C713" s="6"/>
    </row>
    <row r="714" ht="15.75" customHeight="1">
      <c r="C714" s="6"/>
    </row>
    <row r="715" ht="15.75" customHeight="1">
      <c r="C715" s="6"/>
    </row>
    <row r="716" ht="15.75" customHeight="1">
      <c r="C716" s="6"/>
    </row>
    <row r="717" ht="15.75" customHeight="1">
      <c r="C717" s="6"/>
    </row>
    <row r="718" ht="15.75" customHeight="1">
      <c r="C718" s="6"/>
    </row>
    <row r="719" ht="15.75" customHeight="1">
      <c r="C719" s="6"/>
    </row>
    <row r="720" ht="15.75" customHeight="1">
      <c r="C720" s="6"/>
    </row>
    <row r="721" ht="15.75" customHeight="1">
      <c r="C721" s="6"/>
    </row>
    <row r="722" ht="15.75" customHeight="1">
      <c r="C722" s="6"/>
    </row>
    <row r="723" ht="15.75" customHeight="1">
      <c r="C723" s="6"/>
    </row>
    <row r="724" ht="15.75" customHeight="1">
      <c r="C724" s="6"/>
    </row>
    <row r="725" ht="15.75" customHeight="1">
      <c r="C725" s="6"/>
    </row>
    <row r="726" ht="15.75" customHeight="1">
      <c r="C726" s="6"/>
    </row>
    <row r="727" ht="15.75" customHeight="1">
      <c r="C727" s="6"/>
    </row>
    <row r="728" ht="15.75" customHeight="1">
      <c r="C728" s="6"/>
    </row>
    <row r="729" ht="15.75" customHeight="1">
      <c r="C729" s="6"/>
    </row>
    <row r="730" ht="15.75" customHeight="1">
      <c r="C730" s="6"/>
    </row>
    <row r="731" ht="15.75" customHeight="1">
      <c r="C731" s="6"/>
    </row>
    <row r="732" ht="15.75" customHeight="1">
      <c r="C732" s="6"/>
    </row>
    <row r="733" ht="15.75" customHeight="1">
      <c r="C733" s="6"/>
    </row>
    <row r="734" ht="15.75" customHeight="1">
      <c r="C734" s="6"/>
    </row>
    <row r="735" ht="15.75" customHeight="1">
      <c r="C735" s="6"/>
    </row>
    <row r="736" ht="15.75" customHeight="1">
      <c r="C736" s="6"/>
    </row>
    <row r="737" ht="15.75" customHeight="1">
      <c r="C737" s="6"/>
    </row>
    <row r="738" ht="15.75" customHeight="1">
      <c r="C738" s="6"/>
    </row>
    <row r="739" ht="15.75" customHeight="1">
      <c r="C739" s="6"/>
    </row>
    <row r="740" ht="15.75" customHeight="1">
      <c r="C740" s="6"/>
    </row>
    <row r="741" ht="15.75" customHeight="1">
      <c r="C741" s="6"/>
    </row>
    <row r="742" ht="15.75" customHeight="1">
      <c r="C742" s="6"/>
    </row>
    <row r="743" ht="15.75" customHeight="1">
      <c r="C743" s="6"/>
    </row>
    <row r="744" ht="15.75" customHeight="1">
      <c r="C744" s="6"/>
    </row>
    <row r="745" ht="15.75" customHeight="1">
      <c r="C745" s="6"/>
    </row>
    <row r="746" ht="15.75" customHeight="1">
      <c r="C746" s="6"/>
    </row>
    <row r="747" ht="15.75" customHeight="1">
      <c r="C747" s="6"/>
    </row>
    <row r="748" ht="15.75" customHeight="1">
      <c r="C748" s="6"/>
    </row>
    <row r="749" ht="15.75" customHeight="1">
      <c r="C749" s="6"/>
    </row>
    <row r="750" ht="15.75" customHeight="1">
      <c r="C750" s="6"/>
    </row>
    <row r="751" ht="15.75" customHeight="1">
      <c r="C751" s="6"/>
    </row>
    <row r="752" ht="15.75" customHeight="1">
      <c r="C752" s="6"/>
    </row>
    <row r="753" ht="15.75" customHeight="1">
      <c r="C753" s="6"/>
    </row>
    <row r="754" ht="15.75" customHeight="1">
      <c r="C754" s="6"/>
    </row>
    <row r="755" ht="15.75" customHeight="1">
      <c r="C755" s="6"/>
    </row>
    <row r="756" ht="15.75" customHeight="1">
      <c r="C756" s="6"/>
    </row>
    <row r="757" ht="15.75" customHeight="1">
      <c r="C757" s="6"/>
    </row>
    <row r="758" ht="15.75" customHeight="1">
      <c r="C758" s="6"/>
    </row>
    <row r="759" ht="15.75" customHeight="1">
      <c r="C759" s="6"/>
    </row>
    <row r="760" ht="15.75" customHeight="1">
      <c r="C760" s="6"/>
    </row>
    <row r="761" ht="15.75" customHeight="1">
      <c r="C761" s="6"/>
    </row>
    <row r="762" ht="15.75" customHeight="1">
      <c r="C762" s="6"/>
    </row>
    <row r="763" ht="15.75" customHeight="1">
      <c r="C763" s="6"/>
    </row>
    <row r="764" ht="15.75" customHeight="1">
      <c r="C764" s="6"/>
    </row>
    <row r="765" ht="15.75" customHeight="1">
      <c r="C765" s="6"/>
    </row>
    <row r="766" ht="15.75" customHeight="1">
      <c r="C766" s="6"/>
    </row>
    <row r="767" ht="15.75" customHeight="1">
      <c r="C767" s="6"/>
    </row>
    <row r="768" ht="15.75" customHeight="1">
      <c r="C768" s="6"/>
    </row>
    <row r="769" ht="15.75" customHeight="1">
      <c r="C769" s="6"/>
    </row>
    <row r="770" ht="15.75" customHeight="1">
      <c r="C770" s="6"/>
    </row>
    <row r="771" ht="15.75" customHeight="1">
      <c r="C771" s="6"/>
    </row>
    <row r="772" ht="15.75" customHeight="1">
      <c r="C772" s="6"/>
    </row>
    <row r="773" ht="15.75" customHeight="1">
      <c r="C773" s="6"/>
    </row>
    <row r="774" ht="15.75" customHeight="1">
      <c r="C774" s="6"/>
    </row>
    <row r="775" ht="15.75" customHeight="1">
      <c r="C775" s="6"/>
    </row>
    <row r="776" ht="15.75" customHeight="1">
      <c r="C776" s="6"/>
    </row>
    <row r="777" ht="15.75" customHeight="1">
      <c r="C777" s="6"/>
    </row>
    <row r="778" ht="15.75" customHeight="1">
      <c r="C778" s="6"/>
    </row>
    <row r="779" ht="15.75" customHeight="1">
      <c r="C779" s="6"/>
    </row>
    <row r="780" ht="15.75" customHeight="1">
      <c r="C780" s="6"/>
    </row>
    <row r="781" ht="15.75" customHeight="1">
      <c r="C781" s="6"/>
    </row>
    <row r="782" ht="15.75" customHeight="1">
      <c r="C782" s="6"/>
    </row>
    <row r="783" ht="15.75" customHeight="1">
      <c r="C783" s="6"/>
    </row>
    <row r="784" ht="15.75" customHeight="1">
      <c r="C784" s="6"/>
    </row>
    <row r="785" ht="15.75" customHeight="1">
      <c r="C785" s="6"/>
    </row>
    <row r="786" ht="15.75" customHeight="1">
      <c r="C786" s="6"/>
    </row>
    <row r="787" ht="15.75" customHeight="1">
      <c r="C787" s="6"/>
    </row>
    <row r="788" ht="15.75" customHeight="1">
      <c r="C788" s="6"/>
    </row>
    <row r="789" ht="15.75" customHeight="1">
      <c r="C789" s="6"/>
    </row>
    <row r="790" ht="15.75" customHeight="1">
      <c r="C790" s="6"/>
    </row>
    <row r="791" ht="15.75" customHeight="1">
      <c r="C791" s="6"/>
    </row>
    <row r="792" ht="15.75" customHeight="1">
      <c r="C792" s="6"/>
    </row>
    <row r="793" ht="15.75" customHeight="1">
      <c r="C793" s="6"/>
    </row>
    <row r="794" ht="15.75" customHeight="1">
      <c r="C794" s="6"/>
    </row>
    <row r="795" ht="15.75" customHeight="1">
      <c r="C795" s="6"/>
    </row>
    <row r="796" ht="15.75" customHeight="1">
      <c r="C796" s="6"/>
    </row>
    <row r="797" ht="15.75" customHeight="1">
      <c r="C797" s="6"/>
    </row>
    <row r="798" ht="15.75" customHeight="1">
      <c r="C798" s="6"/>
    </row>
    <row r="799" ht="15.75" customHeight="1">
      <c r="C799" s="6"/>
    </row>
    <row r="800" ht="15.75" customHeight="1">
      <c r="C800" s="6"/>
    </row>
    <row r="801" ht="15.75" customHeight="1">
      <c r="C801" s="6"/>
    </row>
    <row r="802" ht="15.75" customHeight="1">
      <c r="C802" s="6"/>
    </row>
    <row r="803" ht="15.75" customHeight="1">
      <c r="C803" s="6"/>
    </row>
    <row r="804" ht="15.75" customHeight="1">
      <c r="C804" s="6"/>
    </row>
    <row r="805" ht="15.75" customHeight="1">
      <c r="C805" s="6"/>
    </row>
    <row r="806" ht="15.75" customHeight="1">
      <c r="C806" s="6"/>
    </row>
    <row r="807" ht="15.75" customHeight="1">
      <c r="C807" s="6"/>
    </row>
    <row r="808" ht="15.75" customHeight="1">
      <c r="C808" s="6"/>
    </row>
    <row r="809" ht="15.75" customHeight="1">
      <c r="C809" s="6"/>
    </row>
    <row r="810" ht="15.75" customHeight="1">
      <c r="C810" s="6"/>
    </row>
    <row r="811" ht="15.75" customHeight="1">
      <c r="C811" s="6"/>
    </row>
    <row r="812" ht="15.75" customHeight="1">
      <c r="C812" s="6"/>
    </row>
    <row r="813" ht="15.75" customHeight="1">
      <c r="C813" s="6"/>
    </row>
    <row r="814" ht="15.75" customHeight="1">
      <c r="C814" s="6"/>
    </row>
    <row r="815" ht="15.75" customHeight="1">
      <c r="C815" s="6"/>
    </row>
    <row r="816" ht="15.75" customHeight="1">
      <c r="C816" s="6"/>
    </row>
    <row r="817" ht="15.75" customHeight="1">
      <c r="C817" s="6"/>
    </row>
    <row r="818" ht="15.75" customHeight="1">
      <c r="C818" s="6"/>
    </row>
    <row r="819" ht="15.75" customHeight="1">
      <c r="C819" s="6"/>
    </row>
    <row r="820" ht="15.75" customHeight="1">
      <c r="C820" s="6"/>
    </row>
    <row r="821" ht="15.75" customHeight="1">
      <c r="C821" s="6"/>
    </row>
    <row r="822" ht="15.75" customHeight="1">
      <c r="C822" s="6"/>
    </row>
    <row r="823" ht="15.75" customHeight="1">
      <c r="C823" s="6"/>
    </row>
    <row r="824" ht="15.75" customHeight="1">
      <c r="C824" s="6"/>
    </row>
    <row r="825" ht="15.75" customHeight="1">
      <c r="C825" s="6"/>
    </row>
    <row r="826" ht="15.75" customHeight="1">
      <c r="C826" s="6"/>
    </row>
    <row r="827" ht="15.75" customHeight="1">
      <c r="C827" s="6"/>
    </row>
    <row r="828" ht="15.75" customHeight="1">
      <c r="C828" s="6"/>
    </row>
    <row r="829" ht="15.75" customHeight="1">
      <c r="C829" s="6"/>
    </row>
    <row r="830" ht="15.75" customHeight="1">
      <c r="C830" s="6"/>
    </row>
    <row r="831" ht="15.75" customHeight="1">
      <c r="C831" s="6"/>
    </row>
    <row r="832" ht="15.75" customHeight="1">
      <c r="C832" s="6"/>
    </row>
    <row r="833" ht="15.75" customHeight="1">
      <c r="C833" s="6"/>
    </row>
    <row r="834" ht="15.75" customHeight="1">
      <c r="C834" s="6"/>
    </row>
    <row r="835" ht="15.75" customHeight="1">
      <c r="C835" s="6"/>
    </row>
    <row r="836" ht="15.75" customHeight="1">
      <c r="C836" s="6"/>
    </row>
    <row r="837" ht="15.75" customHeight="1">
      <c r="C837" s="6"/>
    </row>
    <row r="838" ht="15.75" customHeight="1">
      <c r="C838" s="6"/>
    </row>
    <row r="839" ht="15.75" customHeight="1">
      <c r="C839" s="6"/>
    </row>
    <row r="840" ht="15.75" customHeight="1">
      <c r="C840" s="6"/>
    </row>
    <row r="841" ht="15.75" customHeight="1">
      <c r="C841" s="6"/>
    </row>
    <row r="842" ht="15.75" customHeight="1">
      <c r="C842" s="6"/>
    </row>
    <row r="843" ht="15.75" customHeight="1">
      <c r="C843" s="6"/>
    </row>
    <row r="844" ht="15.75" customHeight="1">
      <c r="C844" s="6"/>
    </row>
    <row r="845" ht="15.75" customHeight="1">
      <c r="C845" s="6"/>
    </row>
    <row r="846" ht="15.75" customHeight="1">
      <c r="C846" s="6"/>
    </row>
    <row r="847" ht="15.75" customHeight="1">
      <c r="C847" s="6"/>
    </row>
    <row r="848" ht="15.75" customHeight="1">
      <c r="C848" s="6"/>
    </row>
    <row r="849" ht="15.75" customHeight="1">
      <c r="C849" s="6"/>
    </row>
    <row r="850" ht="15.75" customHeight="1">
      <c r="C850" s="6"/>
    </row>
    <row r="851" ht="15.75" customHeight="1">
      <c r="C851" s="6"/>
    </row>
    <row r="852" ht="15.75" customHeight="1">
      <c r="C852" s="6"/>
    </row>
    <row r="853" ht="15.75" customHeight="1">
      <c r="C853" s="6"/>
    </row>
    <row r="854" ht="15.75" customHeight="1">
      <c r="C854" s="6"/>
    </row>
    <row r="855" ht="15.75" customHeight="1">
      <c r="C855" s="6"/>
    </row>
    <row r="856" ht="15.75" customHeight="1">
      <c r="C856" s="6"/>
    </row>
    <row r="857" ht="15.75" customHeight="1">
      <c r="C857" s="6"/>
    </row>
    <row r="858" ht="15.75" customHeight="1">
      <c r="C858" s="6"/>
    </row>
    <row r="859" ht="15.75" customHeight="1">
      <c r="C859" s="6"/>
    </row>
    <row r="860" ht="15.75" customHeight="1">
      <c r="C860" s="6"/>
    </row>
    <row r="861" ht="15.75" customHeight="1">
      <c r="C861" s="6"/>
    </row>
    <row r="862" ht="15.75" customHeight="1">
      <c r="C862" s="6"/>
    </row>
    <row r="863" ht="15.75" customHeight="1">
      <c r="C863" s="6"/>
    </row>
    <row r="864" ht="15.75" customHeight="1">
      <c r="C864" s="6"/>
    </row>
    <row r="865" ht="15.75" customHeight="1">
      <c r="C865" s="6"/>
    </row>
    <row r="866" ht="15.75" customHeight="1">
      <c r="C866" s="6"/>
    </row>
    <row r="867" ht="15.75" customHeight="1">
      <c r="C867" s="6"/>
    </row>
    <row r="868" ht="15.75" customHeight="1">
      <c r="C868" s="6"/>
    </row>
    <row r="869" ht="15.75" customHeight="1">
      <c r="C869" s="6"/>
    </row>
    <row r="870" ht="15.75" customHeight="1">
      <c r="C870" s="6"/>
    </row>
    <row r="871" ht="15.75" customHeight="1">
      <c r="C871" s="6"/>
    </row>
    <row r="872" ht="15.75" customHeight="1">
      <c r="C872" s="6"/>
    </row>
    <row r="873" ht="15.75" customHeight="1">
      <c r="C873" s="6"/>
    </row>
    <row r="874" ht="15.75" customHeight="1">
      <c r="C874" s="6"/>
    </row>
    <row r="875" ht="15.75" customHeight="1">
      <c r="C875" s="6"/>
    </row>
    <row r="876" ht="15.75" customHeight="1">
      <c r="C876" s="6"/>
    </row>
    <row r="877" ht="15.75" customHeight="1">
      <c r="C877" s="6"/>
    </row>
    <row r="878" ht="15.75" customHeight="1">
      <c r="C878" s="6"/>
    </row>
    <row r="879" ht="15.75" customHeight="1">
      <c r="C879" s="6"/>
    </row>
    <row r="880" ht="15.75" customHeight="1">
      <c r="C880" s="6"/>
    </row>
    <row r="881" ht="15.75" customHeight="1">
      <c r="C881" s="6"/>
    </row>
    <row r="882" ht="15.75" customHeight="1">
      <c r="C882" s="6"/>
    </row>
    <row r="883" ht="15.75" customHeight="1">
      <c r="C883" s="6"/>
    </row>
    <row r="884" ht="15.75" customHeight="1">
      <c r="C884" s="6"/>
    </row>
    <row r="885" ht="15.75" customHeight="1">
      <c r="C885" s="6"/>
    </row>
    <row r="886" ht="15.75" customHeight="1">
      <c r="C886" s="6"/>
    </row>
    <row r="887" ht="15.75" customHeight="1">
      <c r="C887" s="6"/>
    </row>
    <row r="888" ht="15.75" customHeight="1">
      <c r="C888" s="6"/>
    </row>
    <row r="889" ht="15.75" customHeight="1">
      <c r="C889" s="6"/>
    </row>
    <row r="890" ht="15.75" customHeight="1">
      <c r="C890" s="6"/>
    </row>
    <row r="891" ht="15.75" customHeight="1">
      <c r="C891" s="6"/>
    </row>
    <row r="892" ht="15.75" customHeight="1">
      <c r="C892" s="6"/>
    </row>
    <row r="893" ht="15.75" customHeight="1">
      <c r="C893" s="6"/>
    </row>
    <row r="894" ht="15.75" customHeight="1">
      <c r="C894" s="6"/>
    </row>
    <row r="895" ht="15.75" customHeight="1">
      <c r="C895" s="6"/>
    </row>
    <row r="896" ht="15.75" customHeight="1">
      <c r="C896" s="6"/>
    </row>
    <row r="897" ht="15.75" customHeight="1">
      <c r="C897" s="6"/>
    </row>
    <row r="898" ht="15.75" customHeight="1">
      <c r="C898" s="6"/>
    </row>
    <row r="899" ht="15.75" customHeight="1">
      <c r="C899" s="6"/>
    </row>
    <row r="900" ht="15.75" customHeight="1">
      <c r="C900" s="6"/>
    </row>
    <row r="901" ht="15.75" customHeight="1">
      <c r="C901" s="6"/>
    </row>
    <row r="902" ht="15.75" customHeight="1">
      <c r="C902" s="6"/>
    </row>
    <row r="903" ht="15.75" customHeight="1">
      <c r="C903" s="6"/>
    </row>
    <row r="904" ht="15.75" customHeight="1">
      <c r="C904" s="6"/>
    </row>
    <row r="905" ht="15.75" customHeight="1">
      <c r="C905" s="6"/>
    </row>
    <row r="906" ht="15.75" customHeight="1">
      <c r="C906" s="6"/>
    </row>
    <row r="907" ht="15.75" customHeight="1">
      <c r="C907" s="6"/>
    </row>
    <row r="908" ht="15.75" customHeight="1">
      <c r="C908" s="6"/>
    </row>
    <row r="909" ht="15.75" customHeight="1">
      <c r="C909" s="6"/>
    </row>
    <row r="910" ht="15.75" customHeight="1">
      <c r="C910" s="6"/>
    </row>
    <row r="911" ht="15.75" customHeight="1">
      <c r="C911" s="6"/>
    </row>
    <row r="912" ht="15.75" customHeight="1">
      <c r="C912" s="6"/>
    </row>
    <row r="913" ht="15.75" customHeight="1">
      <c r="C913" s="6"/>
    </row>
    <row r="914" ht="15.75" customHeight="1">
      <c r="C914" s="6"/>
    </row>
    <row r="915" ht="15.75" customHeight="1">
      <c r="C915" s="6"/>
    </row>
    <row r="916" ht="15.75" customHeight="1">
      <c r="C916" s="6"/>
    </row>
    <row r="917" ht="15.75" customHeight="1">
      <c r="C917" s="6"/>
    </row>
    <row r="918" ht="15.75" customHeight="1">
      <c r="C918" s="6"/>
    </row>
    <row r="919" ht="15.75" customHeight="1">
      <c r="C919" s="6"/>
    </row>
    <row r="920" ht="15.75" customHeight="1">
      <c r="C920" s="6"/>
    </row>
    <row r="921" ht="15.75" customHeight="1">
      <c r="C921" s="6"/>
    </row>
    <row r="922" ht="15.75" customHeight="1">
      <c r="C922" s="6"/>
    </row>
    <row r="923" ht="15.75" customHeight="1">
      <c r="C923" s="6"/>
    </row>
    <row r="924" ht="15.75" customHeight="1">
      <c r="C924" s="6"/>
    </row>
    <row r="925" ht="15.75" customHeight="1">
      <c r="C925" s="6"/>
    </row>
    <row r="926" ht="15.75" customHeight="1">
      <c r="C926" s="6"/>
    </row>
    <row r="927" ht="15.75" customHeight="1">
      <c r="C927" s="6"/>
    </row>
    <row r="928" ht="15.75" customHeight="1">
      <c r="C928" s="6"/>
    </row>
    <row r="929" ht="15.75" customHeight="1">
      <c r="C929" s="6"/>
    </row>
    <row r="930" ht="15.75" customHeight="1">
      <c r="C930" s="6"/>
    </row>
    <row r="931" ht="15.75" customHeight="1">
      <c r="C931" s="6"/>
    </row>
    <row r="932" ht="15.75" customHeight="1">
      <c r="C932" s="6"/>
    </row>
    <row r="933" ht="15.75" customHeight="1">
      <c r="C933" s="6"/>
    </row>
    <row r="934" ht="15.75" customHeight="1">
      <c r="C934" s="6"/>
    </row>
    <row r="935" ht="15.75" customHeight="1">
      <c r="C935" s="6"/>
    </row>
    <row r="936" ht="15.75" customHeight="1">
      <c r="C936" s="6"/>
    </row>
    <row r="937" ht="15.75" customHeight="1">
      <c r="C937" s="6"/>
    </row>
    <row r="938" ht="15.75" customHeight="1">
      <c r="C938" s="6"/>
    </row>
    <row r="939" ht="15.75" customHeight="1">
      <c r="C939" s="6"/>
    </row>
    <row r="940" ht="15.75" customHeight="1">
      <c r="C940" s="6"/>
    </row>
    <row r="941" ht="15.75" customHeight="1">
      <c r="C941" s="6"/>
    </row>
    <row r="942" ht="15.75" customHeight="1">
      <c r="C942" s="6"/>
    </row>
    <row r="943" ht="15.75" customHeight="1">
      <c r="C943" s="6"/>
    </row>
    <row r="944" ht="15.75" customHeight="1">
      <c r="C944" s="6"/>
    </row>
    <row r="945" ht="15.75" customHeight="1">
      <c r="C945" s="6"/>
    </row>
    <row r="946" ht="15.75" customHeight="1">
      <c r="C946" s="6"/>
    </row>
    <row r="947" ht="15.75" customHeight="1">
      <c r="C947" s="6"/>
    </row>
    <row r="948" ht="15.75" customHeight="1">
      <c r="C948" s="6"/>
    </row>
    <row r="949" ht="15.75" customHeight="1">
      <c r="C949" s="6"/>
    </row>
    <row r="950" ht="15.75" customHeight="1">
      <c r="C950" s="6"/>
    </row>
    <row r="951" ht="15.75" customHeight="1">
      <c r="C951" s="6"/>
    </row>
    <row r="952" ht="15.75" customHeight="1">
      <c r="C952" s="6"/>
    </row>
    <row r="953" ht="15.75" customHeight="1">
      <c r="C953" s="6"/>
    </row>
    <row r="954" ht="15.75" customHeight="1">
      <c r="C954" s="6"/>
    </row>
    <row r="955" ht="15.75" customHeight="1">
      <c r="C955" s="6"/>
    </row>
    <row r="956" ht="15.75" customHeight="1">
      <c r="C956" s="6"/>
    </row>
    <row r="957" ht="15.75" customHeight="1">
      <c r="C957" s="6"/>
    </row>
    <row r="958" ht="15.75" customHeight="1">
      <c r="C958" s="6"/>
    </row>
    <row r="959" ht="15.75" customHeight="1">
      <c r="C959" s="6"/>
    </row>
    <row r="960" ht="15.75" customHeight="1">
      <c r="C960" s="6"/>
    </row>
    <row r="961" ht="15.75" customHeight="1">
      <c r="C961" s="6"/>
    </row>
    <row r="962" ht="15.75" customHeight="1">
      <c r="C962" s="6"/>
    </row>
    <row r="963" ht="15.75" customHeight="1">
      <c r="C963" s="6"/>
    </row>
    <row r="964" ht="15.75" customHeight="1">
      <c r="C964" s="6"/>
    </row>
    <row r="965" ht="15.75" customHeight="1">
      <c r="C965" s="6"/>
    </row>
    <row r="966" ht="15.75" customHeight="1">
      <c r="C966" s="6"/>
    </row>
    <row r="967" ht="15.75" customHeight="1">
      <c r="C967" s="6"/>
    </row>
    <row r="968" ht="15.75" customHeight="1">
      <c r="C968" s="6"/>
    </row>
    <row r="969" ht="15.75" customHeight="1">
      <c r="C969" s="6"/>
    </row>
    <row r="970" ht="15.75" customHeight="1">
      <c r="C970" s="6"/>
    </row>
    <row r="971" ht="15.75" customHeight="1">
      <c r="C971" s="6"/>
    </row>
    <row r="972" ht="15.75" customHeight="1">
      <c r="C972" s="6"/>
    </row>
    <row r="973" ht="15.75" customHeight="1">
      <c r="C973" s="6"/>
    </row>
    <row r="974" ht="15.75" customHeight="1">
      <c r="C974" s="6"/>
    </row>
    <row r="975" ht="15.75" customHeight="1">
      <c r="C975" s="6"/>
    </row>
    <row r="976" ht="15.75" customHeight="1">
      <c r="C976" s="6"/>
    </row>
    <row r="977" ht="15.75" customHeight="1">
      <c r="C977" s="6"/>
    </row>
    <row r="978" ht="15.75" customHeight="1">
      <c r="C978" s="6"/>
    </row>
    <row r="979" ht="15.75" customHeight="1">
      <c r="C979" s="6"/>
    </row>
    <row r="980" ht="15.75" customHeight="1">
      <c r="C980" s="6"/>
    </row>
    <row r="981" ht="15.75" customHeight="1">
      <c r="C981" s="6"/>
    </row>
    <row r="982" ht="15.75" customHeight="1">
      <c r="C982" s="6"/>
    </row>
    <row r="983" ht="15.75" customHeight="1">
      <c r="C983" s="6"/>
    </row>
    <row r="984" ht="15.75" customHeight="1">
      <c r="C984" s="6"/>
    </row>
    <row r="985" ht="15.75" customHeight="1">
      <c r="C985" s="6"/>
    </row>
    <row r="986" ht="15.75" customHeight="1">
      <c r="C986" s="6"/>
    </row>
    <row r="987" ht="15.75" customHeight="1">
      <c r="C987" s="6"/>
    </row>
    <row r="988" ht="15.75" customHeight="1">
      <c r="C988" s="6"/>
    </row>
    <row r="989" ht="15.75" customHeight="1">
      <c r="C989" s="6"/>
    </row>
    <row r="990" ht="15.75" customHeight="1">
      <c r="C990" s="6"/>
    </row>
    <row r="991" ht="15.75" customHeight="1">
      <c r="C991" s="6"/>
    </row>
    <row r="992" ht="15.75" customHeight="1">
      <c r="C992" s="6"/>
    </row>
    <row r="993" ht="15.75" customHeight="1">
      <c r="C993" s="6"/>
    </row>
    <row r="994" ht="15.75" customHeight="1">
      <c r="C994" s="6"/>
    </row>
    <row r="995" ht="15.75" customHeight="1">
      <c r="C995" s="6"/>
    </row>
    <row r="996" ht="15.75" customHeight="1">
      <c r="C996" s="6"/>
    </row>
    <row r="997" ht="15.75" customHeight="1">
      <c r="C997" s="6"/>
    </row>
    <row r="998" ht="15.75" customHeight="1">
      <c r="C998" s="6"/>
    </row>
    <row r="999" ht="15.75" customHeight="1">
      <c r="C999" s="6"/>
    </row>
    <row r="1000" ht="15.75" customHeight="1">
      <c r="C1000" s="6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4" width="7.63"/>
    <col customWidth="1" min="5" max="5" width="21.25"/>
    <col customWidth="1" min="6" max="6" width="10.88"/>
    <col customWidth="1" min="7" max="7" width="21.75"/>
    <col customWidth="1" min="8" max="8" width="17.63"/>
    <col customWidth="1" min="9" max="9" width="26.88"/>
    <col customWidth="1" min="10" max="10" width="18.0"/>
    <col customWidth="1" min="11" max="11" width="27.5"/>
    <col customWidth="1" min="12" max="26" width="7.63"/>
  </cols>
  <sheetData>
    <row r="1">
      <c r="A1" s="1" t="s">
        <v>5</v>
      </c>
      <c r="B1" s="1" t="s">
        <v>31</v>
      </c>
      <c r="D1" s="7" t="s">
        <v>33</v>
      </c>
      <c r="E1" s="7" t="s">
        <v>34</v>
      </c>
    </row>
    <row r="2">
      <c r="A2" s="1">
        <v>4.0</v>
      </c>
      <c r="B2" s="1">
        <v>0.0</v>
      </c>
      <c r="D2" s="8">
        <v>0.0</v>
      </c>
      <c r="E2" s="8">
        <v>27.0</v>
      </c>
    </row>
    <row r="3">
      <c r="A3" s="1">
        <v>0.0</v>
      </c>
      <c r="B3" s="1">
        <v>1.0</v>
      </c>
      <c r="D3" s="8">
        <v>1.0</v>
      </c>
      <c r="E3" s="8">
        <v>15.0</v>
      </c>
    </row>
    <row r="4">
      <c r="A4" s="1">
        <v>0.0</v>
      </c>
      <c r="B4" s="1">
        <v>2.0</v>
      </c>
      <c r="D4" s="8">
        <v>2.0</v>
      </c>
      <c r="E4" s="8">
        <v>9.0</v>
      </c>
    </row>
    <row r="5">
      <c r="A5" s="1">
        <v>1.0</v>
      </c>
      <c r="B5" s="1">
        <v>3.0</v>
      </c>
      <c r="D5" s="8">
        <v>3.0</v>
      </c>
      <c r="E5" s="8">
        <v>14.0</v>
      </c>
    </row>
    <row r="6">
      <c r="A6" s="1">
        <v>0.0</v>
      </c>
      <c r="B6" s="1">
        <v>4.0</v>
      </c>
      <c r="D6" s="8">
        <v>4.0</v>
      </c>
      <c r="E6" s="8">
        <v>5.0</v>
      </c>
    </row>
    <row r="7">
      <c r="A7" s="1">
        <v>0.0</v>
      </c>
      <c r="B7" s="1">
        <v>5.0</v>
      </c>
      <c r="D7" s="8">
        <v>5.0</v>
      </c>
      <c r="E7" s="8">
        <v>33.0</v>
      </c>
    </row>
    <row r="8">
      <c r="A8" s="1">
        <v>3.0</v>
      </c>
      <c r="D8" s="11" t="s">
        <v>44</v>
      </c>
      <c r="E8" s="11">
        <v>0.0</v>
      </c>
    </row>
    <row r="9">
      <c r="A9" s="1">
        <v>1.0</v>
      </c>
    </row>
    <row r="10">
      <c r="A10" s="1">
        <v>0.0</v>
      </c>
      <c r="D10" s="21"/>
    </row>
    <row r="11">
      <c r="A11" s="1">
        <v>2.0</v>
      </c>
    </row>
    <row r="12">
      <c r="A12" s="1">
        <v>3.0</v>
      </c>
    </row>
    <row r="13">
      <c r="A13" s="1">
        <v>0.0</v>
      </c>
    </row>
    <row r="14">
      <c r="A14" s="1">
        <v>0.0</v>
      </c>
    </row>
    <row r="15">
      <c r="A15" s="1">
        <v>2.0</v>
      </c>
    </row>
    <row r="16">
      <c r="A16" s="1">
        <v>5.0</v>
      </c>
    </row>
    <row r="17">
      <c r="A17" s="1">
        <v>3.0</v>
      </c>
    </row>
    <row r="18">
      <c r="A18" s="1">
        <v>5.0</v>
      </c>
    </row>
    <row r="19">
      <c r="A19" s="1">
        <v>5.0</v>
      </c>
      <c r="D19" s="7" t="s">
        <v>33</v>
      </c>
      <c r="E19" s="7" t="s">
        <v>34</v>
      </c>
      <c r="F19" s="7" t="s">
        <v>45</v>
      </c>
    </row>
    <row r="20">
      <c r="A20" s="1">
        <v>3.0</v>
      </c>
      <c r="D20" s="8">
        <v>0.0</v>
      </c>
      <c r="E20" s="8">
        <v>27.0</v>
      </c>
      <c r="F20" s="22">
        <v>0.2621359223300971</v>
      </c>
    </row>
    <row r="21" ht="15.75" customHeight="1">
      <c r="A21" s="1">
        <v>4.0</v>
      </c>
      <c r="D21" s="8">
        <v>1.0</v>
      </c>
      <c r="E21" s="8">
        <v>15.0</v>
      </c>
      <c r="F21" s="22">
        <v>0.4077669902912621</v>
      </c>
    </row>
    <row r="22" ht="15.75" customHeight="1">
      <c r="A22" s="1">
        <v>1.0</v>
      </c>
      <c r="D22" s="8">
        <v>2.0</v>
      </c>
      <c r="E22" s="8">
        <v>9.0</v>
      </c>
      <c r="F22" s="22">
        <v>0.49514563106796117</v>
      </c>
      <c r="G22" s="23" t="s">
        <v>46</v>
      </c>
    </row>
    <row r="23" ht="15.75" customHeight="1">
      <c r="A23" s="1">
        <v>5.0</v>
      </c>
      <c r="D23" s="8">
        <v>3.0</v>
      </c>
      <c r="E23" s="8">
        <v>14.0</v>
      </c>
      <c r="F23" s="22">
        <v>0.6310679611650486</v>
      </c>
      <c r="G23" s="24" t="s">
        <v>5</v>
      </c>
      <c r="H23" s="24" t="s">
        <v>34</v>
      </c>
      <c r="I23" s="24" t="s">
        <v>47</v>
      </c>
      <c r="J23" s="24" t="s">
        <v>48</v>
      </c>
      <c r="K23" s="24" t="s">
        <v>49</v>
      </c>
    </row>
    <row r="24" ht="15.75" customHeight="1">
      <c r="A24" s="1">
        <v>1.0</v>
      </c>
      <c r="D24" s="8">
        <v>4.0</v>
      </c>
      <c r="E24" s="8">
        <v>5.0</v>
      </c>
      <c r="F24" s="22">
        <v>0.6796116504854369</v>
      </c>
      <c r="G24" s="25">
        <v>0.0</v>
      </c>
      <c r="H24" s="25">
        <v>27.0</v>
      </c>
      <c r="I24" s="24">
        <v>27.0</v>
      </c>
      <c r="J24" s="24">
        <f>H24/'Lunch Graphs'!$H$30</f>
        <v>0.2621359223</v>
      </c>
      <c r="K24" s="26">
        <f>I24/'Lunch Graphs'!$H$30</f>
        <v>0.2621359223</v>
      </c>
    </row>
    <row r="25" ht="15.75" customHeight="1">
      <c r="A25" s="1">
        <v>1.0</v>
      </c>
      <c r="D25" s="8">
        <v>5.0</v>
      </c>
      <c r="E25" s="8">
        <v>33.0</v>
      </c>
      <c r="F25" s="22">
        <v>1.0</v>
      </c>
      <c r="G25" s="25">
        <v>1.0</v>
      </c>
      <c r="H25" s="25">
        <v>15.0</v>
      </c>
      <c r="I25" s="24">
        <f t="shared" ref="I25:I29" si="1">I24+H25</f>
        <v>42</v>
      </c>
      <c r="J25" s="24">
        <f>H25/'Lunch Graphs'!$H$30</f>
        <v>0.145631068</v>
      </c>
      <c r="K25" s="26">
        <f>I25/'Lunch Graphs'!$H$30</f>
        <v>0.4077669903</v>
      </c>
    </row>
    <row r="26" ht="15.75" customHeight="1">
      <c r="A26" s="1">
        <v>5.0</v>
      </c>
      <c r="D26" s="11" t="s">
        <v>44</v>
      </c>
      <c r="E26" s="11">
        <v>0.0</v>
      </c>
      <c r="F26" s="27">
        <v>1.0</v>
      </c>
      <c r="G26" s="25">
        <v>2.0</v>
      </c>
      <c r="H26" s="25">
        <v>9.0</v>
      </c>
      <c r="I26" s="24">
        <f t="shared" si="1"/>
        <v>51</v>
      </c>
      <c r="J26" s="24">
        <f>H26/'Lunch Graphs'!$H$30</f>
        <v>0.08737864078</v>
      </c>
      <c r="K26" s="26">
        <f>I26/'Lunch Graphs'!$H$30</f>
        <v>0.4951456311</v>
      </c>
    </row>
    <row r="27" ht="15.75" customHeight="1">
      <c r="A27" s="1">
        <v>1.0</v>
      </c>
      <c r="G27" s="25">
        <v>3.0</v>
      </c>
      <c r="H27" s="25">
        <v>14.0</v>
      </c>
      <c r="I27" s="24">
        <f t="shared" si="1"/>
        <v>65</v>
      </c>
      <c r="J27" s="24">
        <f>H27/'Lunch Graphs'!$H$30</f>
        <v>0.1359223301</v>
      </c>
      <c r="K27" s="26">
        <f>I27/'Lunch Graphs'!$H$30</f>
        <v>0.6310679612</v>
      </c>
    </row>
    <row r="28" ht="15.75" customHeight="1">
      <c r="A28" s="1">
        <v>5.0</v>
      </c>
      <c r="E28" s="8"/>
      <c r="F28" s="8"/>
      <c r="G28" s="25">
        <v>4.0</v>
      </c>
      <c r="H28" s="25">
        <v>5.0</v>
      </c>
      <c r="I28" s="24">
        <f t="shared" si="1"/>
        <v>70</v>
      </c>
      <c r="J28" s="24">
        <f>H28/'Lunch Graphs'!$H$30</f>
        <v>0.04854368932</v>
      </c>
      <c r="K28" s="26">
        <f>I28/'Lunch Graphs'!$H$30</f>
        <v>0.6796116505</v>
      </c>
    </row>
    <row r="29" ht="15.75" customHeight="1">
      <c r="A29" s="1">
        <v>1.0</v>
      </c>
      <c r="G29" s="25">
        <v>5.0</v>
      </c>
      <c r="H29" s="25">
        <v>33.0</v>
      </c>
      <c r="I29" s="24">
        <f t="shared" si="1"/>
        <v>103</v>
      </c>
      <c r="J29" s="24">
        <f>H29/'Lunch Graphs'!$H$30</f>
        <v>0.3203883495</v>
      </c>
      <c r="K29" s="26">
        <f>I29/'Lunch Graphs'!$H$30</f>
        <v>1</v>
      </c>
    </row>
    <row r="30" ht="15.75" customHeight="1">
      <c r="A30" s="1">
        <v>0.0</v>
      </c>
      <c r="G30" s="25" t="s">
        <v>50</v>
      </c>
      <c r="H30" s="28" t="s">
        <v>51</v>
      </c>
      <c r="I30" s="28" t="s">
        <v>51</v>
      </c>
      <c r="J30" s="28" t="s">
        <v>52</v>
      </c>
      <c r="K30" s="29" t="s">
        <v>53</v>
      </c>
    </row>
    <row r="31" ht="15.75" customHeight="1">
      <c r="A31" s="1">
        <v>3.0</v>
      </c>
    </row>
    <row r="32" ht="15.75" customHeight="1">
      <c r="A32" s="1">
        <v>5.0</v>
      </c>
    </row>
    <row r="33" ht="15.75" customHeight="1">
      <c r="A33" s="1">
        <v>5.0</v>
      </c>
    </row>
    <row r="34" ht="15.75" customHeight="1">
      <c r="A34" s="1">
        <v>2.0</v>
      </c>
    </row>
    <row r="35" ht="15.75" customHeight="1">
      <c r="A35" s="1">
        <v>3.0</v>
      </c>
    </row>
    <row r="36" ht="15.75" customHeight="1">
      <c r="A36" s="1">
        <v>0.0</v>
      </c>
    </row>
    <row r="37" ht="15.75" customHeight="1">
      <c r="A37" s="1">
        <v>3.0</v>
      </c>
    </row>
    <row r="38" ht="15.75" customHeight="1">
      <c r="A38" s="1">
        <v>5.0</v>
      </c>
    </row>
    <row r="39" ht="15.75" customHeight="1">
      <c r="A39" s="1">
        <v>5.0</v>
      </c>
    </row>
    <row r="40" ht="15.75" customHeight="1">
      <c r="A40" s="1">
        <v>5.0</v>
      </c>
    </row>
    <row r="41" ht="15.75" customHeight="1">
      <c r="A41" s="1">
        <v>5.0</v>
      </c>
    </row>
    <row r="42" ht="15.75" customHeight="1">
      <c r="A42" s="1">
        <v>5.0</v>
      </c>
    </row>
    <row r="43" ht="15.75" customHeight="1">
      <c r="A43" s="1">
        <v>5.0</v>
      </c>
    </row>
    <row r="44" ht="15.75" customHeight="1">
      <c r="A44" s="1">
        <v>5.0</v>
      </c>
    </row>
    <row r="45" ht="15.75" customHeight="1">
      <c r="A45" s="1">
        <v>1.0</v>
      </c>
    </row>
    <row r="46" ht="15.75" customHeight="1">
      <c r="A46" s="1">
        <v>1.0</v>
      </c>
    </row>
    <row r="47" ht="15.75" customHeight="1">
      <c r="A47" s="1">
        <v>0.0</v>
      </c>
    </row>
    <row r="48" ht="15.75" customHeight="1">
      <c r="A48" s="1">
        <v>3.0</v>
      </c>
    </row>
    <row r="49" ht="15.75" customHeight="1">
      <c r="A49" s="1">
        <v>2.0</v>
      </c>
    </row>
    <row r="50" ht="15.75" customHeight="1">
      <c r="A50" s="1">
        <v>0.0</v>
      </c>
    </row>
    <row r="51" ht="15.75" customHeight="1">
      <c r="A51" s="1">
        <v>2.0</v>
      </c>
    </row>
    <row r="52" ht="15.75" customHeight="1">
      <c r="A52" s="1">
        <v>1.0</v>
      </c>
    </row>
    <row r="53" ht="15.75" customHeight="1">
      <c r="A53" s="1">
        <v>0.0</v>
      </c>
    </row>
    <row r="54" ht="15.75" customHeight="1">
      <c r="A54" s="1">
        <v>1.0</v>
      </c>
    </row>
    <row r="55" ht="15.75" customHeight="1">
      <c r="A55" s="1">
        <v>5.0</v>
      </c>
    </row>
    <row r="56" ht="15.75" customHeight="1">
      <c r="A56" s="1">
        <v>5.0</v>
      </c>
    </row>
    <row r="57" ht="15.75" customHeight="1">
      <c r="A57" s="1">
        <v>5.0</v>
      </c>
    </row>
    <row r="58" ht="15.75" customHeight="1">
      <c r="A58" s="1">
        <v>5.0</v>
      </c>
    </row>
    <row r="59" ht="15.75" customHeight="1">
      <c r="A59" s="1">
        <v>5.0</v>
      </c>
    </row>
    <row r="60" ht="15.75" customHeight="1">
      <c r="A60" s="1">
        <v>3.0</v>
      </c>
    </row>
    <row r="61" ht="15.75" customHeight="1">
      <c r="A61" s="1">
        <v>5.0</v>
      </c>
    </row>
    <row r="62" ht="15.75" customHeight="1">
      <c r="A62" s="1">
        <v>5.0</v>
      </c>
    </row>
    <row r="63" ht="15.75" customHeight="1">
      <c r="A63" s="1">
        <v>0.0</v>
      </c>
    </row>
    <row r="64" ht="15.75" customHeight="1">
      <c r="A64" s="1">
        <v>5.0</v>
      </c>
    </row>
    <row r="65" ht="15.75" customHeight="1">
      <c r="A65" s="1">
        <v>5.0</v>
      </c>
    </row>
    <row r="66" ht="15.75" customHeight="1">
      <c r="A66" s="1">
        <v>5.0</v>
      </c>
    </row>
    <row r="67" ht="15.75" customHeight="1">
      <c r="A67" s="1">
        <v>5.0</v>
      </c>
    </row>
    <row r="68" ht="15.75" customHeight="1">
      <c r="A68" s="1">
        <v>5.0</v>
      </c>
    </row>
    <row r="69" ht="15.75" customHeight="1">
      <c r="A69" s="1">
        <v>0.0</v>
      </c>
    </row>
    <row r="70" ht="15.75" customHeight="1">
      <c r="A70" s="1">
        <v>5.0</v>
      </c>
    </row>
    <row r="71" ht="15.75" customHeight="1">
      <c r="A71" s="1">
        <v>1.0</v>
      </c>
    </row>
    <row r="72" ht="15.75" customHeight="1">
      <c r="A72" s="1">
        <v>0.0</v>
      </c>
    </row>
    <row r="73" ht="15.75" customHeight="1">
      <c r="A73" s="1">
        <v>3.0</v>
      </c>
    </row>
    <row r="74" ht="15.75" customHeight="1">
      <c r="A74" s="1">
        <v>0.0</v>
      </c>
    </row>
    <row r="75" ht="15.75" customHeight="1">
      <c r="A75" s="1">
        <v>5.0</v>
      </c>
    </row>
    <row r="76" ht="15.75" customHeight="1">
      <c r="A76" s="1">
        <v>5.0</v>
      </c>
    </row>
    <row r="77" ht="15.75" customHeight="1">
      <c r="A77" s="1">
        <v>5.0</v>
      </c>
    </row>
    <row r="78" ht="15.75" customHeight="1">
      <c r="A78" s="1">
        <v>0.0</v>
      </c>
    </row>
    <row r="79" ht="15.75" customHeight="1">
      <c r="A79" s="1">
        <v>2.0</v>
      </c>
    </row>
    <row r="80" ht="15.75" customHeight="1">
      <c r="A80" s="1">
        <v>0.0</v>
      </c>
    </row>
    <row r="81" ht="15.75" customHeight="1">
      <c r="A81" s="1">
        <v>3.0</v>
      </c>
    </row>
    <row r="82" ht="15.75" customHeight="1">
      <c r="A82" s="1">
        <v>0.0</v>
      </c>
    </row>
    <row r="83" ht="15.75" customHeight="1">
      <c r="A83" s="1">
        <v>0.0</v>
      </c>
    </row>
    <row r="84" ht="15.75" customHeight="1">
      <c r="A84" s="1">
        <v>0.0</v>
      </c>
    </row>
    <row r="85" ht="15.75" customHeight="1">
      <c r="A85" s="1">
        <v>1.0</v>
      </c>
    </row>
    <row r="86" ht="15.75" customHeight="1">
      <c r="A86" s="1">
        <v>5.0</v>
      </c>
    </row>
    <row r="87" ht="15.75" customHeight="1">
      <c r="A87" s="1">
        <v>0.0</v>
      </c>
    </row>
    <row r="88" ht="15.75" customHeight="1">
      <c r="A88" s="1">
        <v>1.0</v>
      </c>
    </row>
    <row r="89" ht="15.75" customHeight="1">
      <c r="A89" s="1">
        <v>0.0</v>
      </c>
    </row>
    <row r="90" ht="15.75" customHeight="1">
      <c r="A90" s="1">
        <v>4.0</v>
      </c>
    </row>
    <row r="91" ht="15.75" customHeight="1">
      <c r="A91" s="1">
        <v>0.0</v>
      </c>
    </row>
    <row r="92" ht="15.75" customHeight="1">
      <c r="A92" s="1">
        <v>3.0</v>
      </c>
    </row>
    <row r="93" ht="15.75" customHeight="1">
      <c r="A93" s="1">
        <v>5.0</v>
      </c>
    </row>
    <row r="94" ht="15.75" customHeight="1">
      <c r="A94" s="1">
        <v>0.0</v>
      </c>
    </row>
    <row r="95" ht="15.75" customHeight="1">
      <c r="A95" s="1">
        <v>4.0</v>
      </c>
    </row>
    <row r="96" ht="15.75" customHeight="1">
      <c r="A96" s="1">
        <v>2.0</v>
      </c>
    </row>
    <row r="97" ht="15.75" customHeight="1">
      <c r="A97" s="1">
        <v>0.0</v>
      </c>
    </row>
    <row r="98" ht="15.75" customHeight="1">
      <c r="A98" s="1">
        <v>2.0</v>
      </c>
    </row>
    <row r="99" ht="15.75" customHeight="1">
      <c r="A99" s="1">
        <v>0.0</v>
      </c>
    </row>
    <row r="100" ht="15.75" customHeight="1">
      <c r="A100" s="1">
        <v>3.0</v>
      </c>
    </row>
    <row r="101" ht="15.75" customHeight="1">
      <c r="A101" s="1">
        <v>2.0</v>
      </c>
    </row>
    <row r="102" ht="15.75" customHeight="1">
      <c r="A102" s="1">
        <v>4.0</v>
      </c>
    </row>
    <row r="103" ht="15.75" customHeight="1">
      <c r="A103" s="1">
        <v>1.0</v>
      </c>
    </row>
    <row r="104" ht="15.75" customHeight="1">
      <c r="A104" s="1">
        <v>3.0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22:K2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2021-12-14T00:07:07Z</dcterms:created>
  <dc:creator>slcccc</dc:creator>
</cp:coreProperties>
</file>